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파이썬 프로젝트\근무표생성기\근무표서식\"/>
    </mc:Choice>
  </mc:AlternateContent>
  <xr:revisionPtr revIDLastSave="0" documentId="13_ncr:1_{F1EDF0AF-E632-43C8-8BB7-333D4E40B8AA}" xr6:coauthVersionLast="47" xr6:coauthVersionMax="47" xr10:uidLastSave="{00000000-0000-0000-0000-000000000000}"/>
  <bookViews>
    <workbookView xWindow="-108" yWindow="-108" windowWidth="30936" windowHeight="16776" xr2:uid="{6B319A6F-7DAB-44A4-9F23-ACB8B781E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1" l="1"/>
  <c r="AK7" i="1"/>
  <c r="AK8" i="1"/>
  <c r="AK9" i="1"/>
  <c r="AK10" i="1"/>
  <c r="AK11" i="1"/>
  <c r="AK12" i="1"/>
  <c r="AK5" i="1"/>
  <c r="AH6" i="1"/>
  <c r="AH7" i="1"/>
  <c r="AH8" i="1"/>
  <c r="AH9" i="1"/>
  <c r="AH10" i="1"/>
  <c r="AH11" i="1"/>
  <c r="AH12" i="1"/>
  <c r="AH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I6" i="1"/>
  <c r="AG6" i="1"/>
  <c r="AJ6" i="1"/>
  <c r="AF6" i="1"/>
  <c r="AI7" i="1"/>
  <c r="AG7" i="1"/>
  <c r="AJ7" i="1"/>
  <c r="AF7" i="1"/>
  <c r="AI8" i="1"/>
  <c r="AG8" i="1"/>
  <c r="AJ8" i="1"/>
  <c r="AF8" i="1"/>
  <c r="AI9" i="1"/>
  <c r="AG9" i="1"/>
  <c r="AJ9" i="1"/>
  <c r="AF9" i="1"/>
  <c r="AI10" i="1"/>
  <c r="AG10" i="1"/>
  <c r="AJ10" i="1"/>
  <c r="AF10" i="1"/>
  <c r="AI11" i="1"/>
  <c r="AG11" i="1"/>
  <c r="AJ11" i="1"/>
  <c r="AF11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E13" i="1"/>
  <c r="AE16" i="1" s="1"/>
  <c r="AD13" i="1"/>
  <c r="AD16" i="1" s="1"/>
  <c r="AC13" i="1"/>
  <c r="AC16" i="1" s="1"/>
  <c r="AB13" i="1"/>
  <c r="AB16" i="1" s="1"/>
  <c r="AA13" i="1"/>
  <c r="AA16" i="1" s="1"/>
  <c r="Z13" i="1"/>
  <c r="Z16" i="1" s="1"/>
  <c r="Y13" i="1"/>
  <c r="Y16" i="1" s="1"/>
  <c r="X13" i="1"/>
  <c r="X16" i="1" s="1"/>
  <c r="W13" i="1"/>
  <c r="W16" i="1" s="1"/>
  <c r="V13" i="1"/>
  <c r="V16" i="1" s="1"/>
  <c r="U13" i="1"/>
  <c r="U16" i="1" s="1"/>
  <c r="T13" i="1"/>
  <c r="T16" i="1" s="1"/>
  <c r="S13" i="1"/>
  <c r="S16" i="1" s="1"/>
  <c r="R13" i="1"/>
  <c r="R16" i="1" s="1"/>
  <c r="Q13" i="1"/>
  <c r="Q16" i="1" s="1"/>
  <c r="P13" i="1"/>
  <c r="P16" i="1" s="1"/>
  <c r="O13" i="1"/>
  <c r="O16" i="1" s="1"/>
  <c r="N13" i="1"/>
  <c r="N16" i="1" s="1"/>
  <c r="M13" i="1"/>
  <c r="M16" i="1" s="1"/>
  <c r="L13" i="1"/>
  <c r="L16" i="1" s="1"/>
  <c r="K13" i="1"/>
  <c r="K16" i="1" s="1"/>
  <c r="J13" i="1"/>
  <c r="J16" i="1" s="1"/>
  <c r="I13" i="1"/>
  <c r="I16" i="1" s="1"/>
  <c r="H13" i="1"/>
  <c r="H16" i="1" s="1"/>
  <c r="G13" i="1"/>
  <c r="G16" i="1" s="1"/>
  <c r="F13" i="1"/>
  <c r="F16" i="1" s="1"/>
  <c r="E13" i="1"/>
  <c r="E16" i="1" s="1"/>
  <c r="D13" i="1"/>
  <c r="D16" i="1" s="1"/>
  <c r="C13" i="1"/>
  <c r="C16" i="1" s="1"/>
  <c r="B13" i="1"/>
  <c r="B16" i="1" s="1"/>
  <c r="AI12" i="1"/>
  <c r="AG12" i="1"/>
  <c r="AJ12" i="1"/>
  <c r="AF12" i="1"/>
  <c r="AI5" i="1"/>
  <c r="AG5" i="1"/>
  <c r="AJ5" i="1"/>
  <c r="AF5" i="1"/>
</calcChain>
</file>

<file path=xl/sharedStrings.xml><?xml version="1.0" encoding="utf-8"?>
<sst xmlns="http://schemas.openxmlformats.org/spreadsheetml/2006/main" count="291" uniqueCount="31">
  <si>
    <t>요일</t>
  </si>
  <si>
    <t>주</t>
  </si>
  <si>
    <t>연</t>
  </si>
  <si>
    <t>야</t>
  </si>
  <si>
    <t>휴</t>
  </si>
  <si>
    <t>근무시간</t>
  </si>
  <si>
    <t>주</t>
    <phoneticPr fontId="3" type="noConversion"/>
  </si>
  <si>
    <t>야</t>
    <phoneticPr fontId="3" type="noConversion"/>
  </si>
  <si>
    <t>비</t>
    <phoneticPr fontId="3" type="noConversion"/>
  </si>
  <si>
    <t>휴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</si>
  <si>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</si>
  <si>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</si>
  <si>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</si>
  <si>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2026년 4월 사회복무요원 시간표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</si>
  <si>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</si>
  <si>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</si>
  <si>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</si>
  <si>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</si>
  <si>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근무자1</t>
    <phoneticPr fontId="3" type="noConversion"/>
  </si>
  <si>
    <t>근무자2</t>
    <phoneticPr fontId="3" type="noConversion"/>
  </si>
  <si>
    <t>근무자3</t>
    <phoneticPr fontId="3" type="noConversion"/>
  </si>
  <si>
    <t>근무자4</t>
    <phoneticPr fontId="3" type="noConversion"/>
  </si>
  <si>
    <t>근무자5</t>
    <phoneticPr fontId="3" type="noConversion"/>
  </si>
  <si>
    <t>근무자6</t>
    <phoneticPr fontId="3" type="noConversion"/>
  </si>
  <si>
    <t>근무자7</t>
    <phoneticPr fontId="3" type="noConversion"/>
  </si>
  <si>
    <t>근무자8</t>
    <phoneticPr fontId="3" type="noConversion"/>
  </si>
  <si>
    <t>일자</t>
    <phoneticPr fontId="3" type="noConversion"/>
  </si>
  <si>
    <t>주간</t>
    <phoneticPr fontId="3" type="noConversion"/>
  </si>
  <si>
    <t>야간</t>
    <phoneticPr fontId="3" type="noConversion"/>
  </si>
  <si>
    <t>휴무</t>
    <phoneticPr fontId="3" type="noConversion"/>
  </si>
  <si>
    <t>비번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</si>
</sst>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Dotum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Dotum"/>
      <family val="3"/>
      <charset val="129"/>
    </font>
    <font>
      <b/>
      <sz val="11"/>
      <color rgb="FF000000"/>
      <name val="Dotum"/>
      <family val="3"/>
      <charset val="129"/>
    </font>
    <font>
      <sz val="11"/>
      <color rgb="FF000000"/>
      <name val="Dotum"/>
      <family val="3"/>
      <charset val="129"/>
    </font>
    <font>
      <b/>
      <sz val="11"/>
      <color rgb="FF00B050"/>
      <name val="Dotum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E9FECE"/>
        <bgColor rgb="FFE6E0EC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8" fillId="3" borderId="2" applyNumberFormat="0" applyAlignment="0" applyProtection="0">
      <alignment vertical="center"/>
    </xf>
    <xf numFmtId="0" fontId="1" fillId="4" borderId="3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5" fillId="0" borderId="4" xfId="0" applyFont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3" borderId="14" xfId="2" applyFont="1" applyBorder="1" applyAlignment="1">
      <alignment horizontal="center" vertical="center"/>
    </xf>
    <xf numFmtId="0" fontId="10" fillId="3" borderId="15" xfId="2" applyFont="1" applyBorder="1" applyAlignment="1">
      <alignment horizontal="center" vertical="center"/>
    </xf>
    <xf numFmtId="0" fontId="10" fillId="3" borderId="16" xfId="2" applyFont="1" applyBorder="1" applyAlignment="1">
      <alignment horizontal="center" vertical="center"/>
    </xf>
    <xf numFmtId="0" fontId="10" fillId="3" borderId="17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6" xfId="2" applyFont="1" applyBorder="1" applyAlignment="1">
      <alignment horizontal="center" vertical="center"/>
    </xf>
    <xf numFmtId="0" fontId="10" fillId="3" borderId="7" xfId="2" applyFont="1" applyBorder="1" applyAlignment="1">
      <alignment horizontal="center" vertical="center"/>
    </xf>
    <xf numFmtId="0" fontId="10" fillId="3" borderId="9" xfId="2" applyFont="1" applyBorder="1" applyAlignment="1">
      <alignment horizontal="center" vertical="center"/>
    </xf>
    <xf numFmtId="0" fontId="10" fillId="3" borderId="11" xfId="2" applyFont="1" applyBorder="1" applyAlignment="1">
      <alignment horizontal="center" vertical="center"/>
    </xf>
    <xf numFmtId="0" fontId="10" fillId="3" borderId="12" xfId="2" applyFont="1" applyBorder="1" applyAlignment="1">
      <alignment horizontal="center" vertical="center"/>
    </xf>
    <xf numFmtId="0" fontId="10" fillId="3" borderId="2" xfId="2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3" borderId="18" xfId="2" applyFont="1" applyBorder="1" applyAlignment="1">
      <alignment horizontal="center" vertical="center"/>
    </xf>
    <xf numFmtId="0" fontId="10" fillId="3" borderId="19" xfId="2" applyFont="1" applyBorder="1" applyAlignment="1">
      <alignment horizontal="center" vertical="center"/>
    </xf>
    <xf numFmtId="0" fontId="10" fillId="3" borderId="20" xfId="2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5" borderId="6" xfId="4" applyNumberFormat="1" applyBorder="1" applyAlignment="1">
      <alignment horizontal="center" vertical="center"/>
    </xf>
    <xf numFmtId="176" fontId="1" fillId="5" borderId="7" xfId="4" applyNumberForma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4" borderId="8" xfId="3" applyFont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9" fillId="4" borderId="10" xfId="3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3" xfId="1" applyBorder="1" applyAlignment="1"/>
    <xf numFmtId="0" fontId="6" fillId="0" borderId="0" xfId="1" applyAlignment="1"/>
    <xf numFmtId="0" fontId="2" fillId="0" borderId="21" xfId="0" applyFont="1" applyBorder="1" applyAlignment="1">
      <alignment horizontal="center" vertical="center"/>
    </xf>
  </cellXfs>
  <cellStyles count="5">
    <cellStyle name="20% - 강조색6" xfId="4" builtinId="50"/>
    <cellStyle name="계산" xfId="2" builtinId="22"/>
    <cellStyle name="메모" xfId="3" builtinId="10"/>
    <cellStyle name="표준" xfId="0" builtinId="0"/>
    <cellStyle name="표준 2" xfId="1" xr:uid="{CB34A6F7-D228-4C0B-A1AE-BEE65BEE9137}"/>
  </cellStyles>
  <dxfs count="7">
    <dxf>
      <font>
        <color rgb="FF002060"/>
      </font>
      <fill>
        <patternFill patternType="none"/>
      </fill>
    </dxf>
    <dxf>
      <font>
        <b/>
        <i val="0"/>
        <color rgb="FFC00000"/>
      </font>
      <fill>
        <patternFill patternType="none"/>
      </fill>
    </dxf>
    <dxf>
      <font>
        <b/>
        <i val="0"/>
        <strike val="0"/>
        <color theme="1"/>
      </font>
      <fill>
        <patternFill patternType="solid">
          <fgColor indexed="64"/>
          <bgColor rgb="FFFFCC00"/>
        </patternFill>
      </fill>
    </dxf>
    <dxf>
      <font>
        <color theme="1"/>
      </font>
      <fill>
        <patternFill patternType="solid">
          <bgColor rgb="FF60CA3A"/>
        </patternFill>
      </fill>
    </dxf>
    <dxf>
      <font>
        <b/>
        <i val="0"/>
        <color rgb="FFEE6C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E9FECE"/>
      <color rgb="FFEE6C00"/>
      <color rgb="FF60CA3A"/>
      <color rgb="FF4C9D2B"/>
      <color rgb="FFFFCC00"/>
      <color rgb="FFFFFF99"/>
      <color rgb="FF9245E6"/>
      <color rgb="FF4558E6"/>
      <color rgb="FF45E6E1"/>
      <color rgb="FFE688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4944-0881-4D95-B141-076F73D5A323}">
  <dimension ref="A1:AY27"/>
  <sheetViews>
    <sheetView tabSelected="1" zoomScale="85" zoomScaleNormal="85" workbookViewId="0">
      <selection activeCell="AQ3" sqref="AQ3"/>
    </sheetView>
  </sheetViews>
  <sheetFormatPr defaultRowHeight="17.399999999999999"/>
  <cols>
    <col min="1" max="1" width="7.59765625" customWidth="1"/>
    <col min="2" max="36" width="4.09765625" customWidth="1"/>
    <col min="37" max="37" width="8.296875" customWidth="1"/>
    <col min="38" max="38" width="8.796875" customWidth="1"/>
  </cols>
  <sheetData>
    <row r="1" spans="1:51" ht="17.399999999999999" customHeight="1">
      <c r="B1" s="33"/>
      <c r="C1" s="33"/>
      <c r="D1" s="18" t="s">
        <v>13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33"/>
      <c r="AC1" s="33"/>
      <c r="AD1" s="33"/>
      <c r="AE1" s="33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</row>
    <row r="2" spans="1:51" ht="29.55" customHeight="1" thickBot="1">
      <c r="A2" s="34"/>
      <c r="B2" s="34"/>
      <c r="C2" s="34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4"/>
      <c r="AC2" s="34"/>
      <c r="AD2" s="34"/>
      <c r="AE2" s="34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</row>
    <row r="3" spans="1:51" ht="34.049999999999997" customHeight="1" thickBot="1">
      <c r="A3" s="22" t="s">
        <v>26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  <c r="I3" s="23">
        <v>8</v>
      </c>
      <c r="J3" s="23">
        <v>9</v>
      </c>
      <c r="K3" s="23">
        <v>10</v>
      </c>
      <c r="L3" s="23">
        <v>11</v>
      </c>
      <c r="M3" s="23">
        <v>12</v>
      </c>
      <c r="N3" s="23">
        <v>13</v>
      </c>
      <c r="O3" s="23">
        <v>14</v>
      </c>
      <c r="P3" s="23">
        <v>15</v>
      </c>
      <c r="Q3" s="23">
        <v>16</v>
      </c>
      <c r="R3" s="23">
        <v>17</v>
      </c>
      <c r="S3" s="23">
        <v>18</v>
      </c>
      <c r="T3" s="23">
        <v>19</v>
      </c>
      <c r="U3" s="23">
        <v>20</v>
      </c>
      <c r="V3" s="23">
        <v>21</v>
      </c>
      <c r="W3" s="23">
        <v>22</v>
      </c>
      <c r="X3" s="23">
        <v>23</v>
      </c>
      <c r="Y3" s="23">
        <v>24</v>
      </c>
      <c r="Z3" s="23">
        <v>25</v>
      </c>
      <c r="AA3" s="23">
        <v>26</v>
      </c>
      <c r="AB3" s="23">
        <v>27</v>
      </c>
      <c r="AC3" s="23">
        <v>28</v>
      </c>
      <c r="AD3" s="23">
        <v>29</v>
      </c>
      <c r="AE3" s="24">
        <v>30</v>
      </c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</row>
    <row r="4" spans="1:51" ht="24" customHeight="1">
      <c r="A4" s="25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10</v>
      </c>
      <c r="G4" s="1" t="s">
        <v>11</v>
      </c>
      <c r="H4" s="1" t="s">
        <v>12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10</v>
      </c>
      <c r="N4" s="1" t="s">
        <v>11</v>
      </c>
      <c r="O4" s="1" t="s">
        <v>12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10</v>
      </c>
      <c r="U4" s="1" t="s">
        <v>11</v>
      </c>
      <c r="V4" s="1" t="s">
        <v>12</v>
      </c>
      <c r="W4" s="1" t="s">
        <v>14</v>
      </c>
      <c r="X4" s="1" t="s">
        <v>15</v>
      </c>
      <c r="Y4" s="1" t="s">
        <v>16</v>
      </c>
      <c r="Z4" s="1" t="s">
        <v>17</v>
      </c>
      <c r="AA4" s="1" t="s">
        <v>10</v>
      </c>
      <c r="AB4" s="1" t="s">
        <v>11</v>
      </c>
      <c r="AC4" s="1" t="s">
        <v>12</v>
      </c>
      <c r="AD4" s="1" t="s">
        <v>14</v>
      </c>
      <c r="AE4" s="26" t="s">
        <v>15</v>
      </c>
      <c r="AF4" s="19" t="s">
        <v>1</v>
      </c>
      <c r="AG4" s="7" t="s">
        <v>3</v>
      </c>
      <c r="AH4" s="7" t="s">
        <v>8</v>
      </c>
      <c r="AI4" s="7" t="s">
        <v>4</v>
      </c>
      <c r="AJ4" s="7" t="s">
        <v>2</v>
      </c>
      <c r="AK4" s="8" t="s">
        <v>5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</row>
    <row r="5" spans="1:51" ht="30" customHeight="1">
      <c r="A5" s="27" t="s">
        <v>18</v>
      </c>
      <c r="B5" s="2" t="s">
        <v>9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6</v>
      </c>
      <c r="H5" s="2" t="s">
        <v>7</v>
      </c>
      <c r="I5" s="2" t="s">
        <v>8</v>
      </c>
      <c r="J5" s="2" t="s">
        <v>9</v>
      </c>
      <c r="K5" s="3" t="s">
        <v>6</v>
      </c>
      <c r="L5" s="3" t="s">
        <v>6</v>
      </c>
      <c r="M5" s="2" t="s">
        <v>6</v>
      </c>
      <c r="N5" s="3" t="s">
        <v>7</v>
      </c>
      <c r="O5" s="3" t="s">
        <v>8</v>
      </c>
      <c r="P5" s="2" t="s">
        <v>9</v>
      </c>
      <c r="Q5" s="2" t="s">
        <v>7</v>
      </c>
      <c r="R5" s="2" t="s">
        <v>8</v>
      </c>
      <c r="S5" s="2" t="s">
        <v>9</v>
      </c>
      <c r="T5" s="2" t="s">
        <v>6</v>
      </c>
      <c r="U5" s="2" t="s">
        <v>7</v>
      </c>
      <c r="V5" s="2" t="s">
        <v>8</v>
      </c>
      <c r="W5" s="2" t="s">
        <v>9</v>
      </c>
      <c r="X5" s="2" t="s">
        <v>7</v>
      </c>
      <c r="Y5" s="2" t="s">
        <v>8</v>
      </c>
      <c r="Z5" s="3" t="s">
        <v>9</v>
      </c>
      <c r="AA5" s="3" t="s">
        <v>7</v>
      </c>
      <c r="AB5" s="2" t="s">
        <v>8</v>
      </c>
      <c r="AC5" s="3" t="s">
        <v>9</v>
      </c>
      <c r="AD5" s="3" t="s">
        <v>6</v>
      </c>
      <c r="AE5" s="28" t="s">
        <v>6</v>
      </c>
      <c r="AF5" s="20">
        <f t="shared" ref="AF5:AF12" si="0">COUNTIF(B5:AE5,"주")+COUNTIF(B5:AE5,"교")</f>
        <v>8</v>
      </c>
      <c r="AG5" s="17">
        <f>COUNTIF(B5:AE5,"야")</f>
        <v>7</v>
      </c>
      <c r="AH5" s="17">
        <f>COUNTIF(C5:AF5,"비")</f>
        <v>7</v>
      </c>
      <c r="AI5" s="17">
        <f>COUNTIF(B5:AE5,"휴")</f>
        <v>8</v>
      </c>
      <c r="AJ5" s="17">
        <f>COUNTIF(B5:AE5,"연")</f>
        <v>0</v>
      </c>
      <c r="AK5" s="10">
        <f>(AF5+AG5+AH5+AJ5)*8</f>
        <v>176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</row>
    <row r="6" spans="1:51" ht="30" customHeight="1">
      <c r="A6" s="27" t="s">
        <v>19</v>
      </c>
      <c r="B6" s="2" t="s">
        <v>7</v>
      </c>
      <c r="C6" s="2" t="s">
        <v>8</v>
      </c>
      <c r="D6" s="2" t="s">
        <v>9</v>
      </c>
      <c r="E6" s="2" t="s">
        <v>7</v>
      </c>
      <c r="F6" s="2" t="s">
        <v>8</v>
      </c>
      <c r="G6" s="2" t="s">
        <v>9</v>
      </c>
      <c r="H6" s="2" t="s">
        <v>9</v>
      </c>
      <c r="I6" s="2" t="s">
        <v>6</v>
      </c>
      <c r="J6" s="2" t="s">
        <v>7</v>
      </c>
      <c r="K6" s="3" t="s">
        <v>8</v>
      </c>
      <c r="L6" s="3" t="s">
        <v>9</v>
      </c>
      <c r="M6" s="2" t="s">
        <v>6</v>
      </c>
      <c r="N6" s="3" t="s">
        <v>6</v>
      </c>
      <c r="O6" s="3" t="s">
        <v>7</v>
      </c>
      <c r="P6" s="2" t="s">
        <v>8</v>
      </c>
      <c r="Q6" s="2" t="s">
        <v>9</v>
      </c>
      <c r="R6" s="2" t="s">
        <v>6</v>
      </c>
      <c r="S6" s="2" t="s">
        <v>6</v>
      </c>
      <c r="T6" s="2" t="s">
        <v>7</v>
      </c>
      <c r="U6" s="2" t="s">
        <v>8</v>
      </c>
      <c r="V6" s="2" t="s">
        <v>9</v>
      </c>
      <c r="W6" s="2" t="s">
        <v>6</v>
      </c>
      <c r="X6" s="2" t="s">
        <v>6</v>
      </c>
      <c r="Y6" s="2" t="s">
        <v>7</v>
      </c>
      <c r="Z6" s="3" t="s">
        <v>8</v>
      </c>
      <c r="AA6" s="3" t="s">
        <v>9</v>
      </c>
      <c r="AB6" s="2" t="s">
        <v>6</v>
      </c>
      <c r="AC6" s="3" t="s">
        <v>7</v>
      </c>
      <c r="AD6" s="3" t="s">
        <v>8</v>
      </c>
      <c r="AE6" s="28" t="s">
        <v>9</v>
      </c>
      <c r="AF6" s="20">
        <f t="shared" si="0"/>
        <v>8</v>
      </c>
      <c r="AG6" s="17">
        <f>COUNTIF(B6:AE6,"야")</f>
        <v>7</v>
      </c>
      <c r="AH6" s="17">
        <f t="shared" ref="AH6:AH12" si="1">COUNTIF(C6:AF6,"비")</f>
        <v>7</v>
      </c>
      <c r="AI6" s="17">
        <f>COUNTIF(B6:AE6,"휴")</f>
        <v>8</v>
      </c>
      <c r="AJ6" s="17">
        <f>COUNTIF(B6:AE6,"연")</f>
        <v>0</v>
      </c>
      <c r="AK6" s="10">
        <f t="shared" ref="AK6:AK12" si="2">(AF6+AG6+AH6+AJ6)*8</f>
        <v>176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</row>
    <row r="7" spans="1:51" ht="30" customHeight="1">
      <c r="A7" s="27" t="s">
        <v>20</v>
      </c>
      <c r="B7" s="2" t="s">
        <v>6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7</v>
      </c>
      <c r="H7" s="2" t="s">
        <v>8</v>
      </c>
      <c r="I7" s="2" t="s">
        <v>9</v>
      </c>
      <c r="J7" s="2" t="s">
        <v>6</v>
      </c>
      <c r="K7" s="3" t="s">
        <v>7</v>
      </c>
      <c r="L7" s="3" t="s">
        <v>8</v>
      </c>
      <c r="M7" s="2" t="s">
        <v>9</v>
      </c>
      <c r="N7" s="3" t="s">
        <v>6</v>
      </c>
      <c r="O7" s="3" t="s">
        <v>7</v>
      </c>
      <c r="P7" s="2" t="s">
        <v>8</v>
      </c>
      <c r="Q7" s="2" t="s">
        <v>9</v>
      </c>
      <c r="R7" s="2" t="s">
        <v>7</v>
      </c>
      <c r="S7" s="2" t="s">
        <v>8</v>
      </c>
      <c r="T7" s="2" t="s">
        <v>9</v>
      </c>
      <c r="U7" s="2" t="s">
        <v>7</v>
      </c>
      <c r="V7" s="2" t="s">
        <v>8</v>
      </c>
      <c r="W7" s="2" t="s">
        <v>9</v>
      </c>
      <c r="X7" s="2" t="s">
        <v>9</v>
      </c>
      <c r="Y7" s="2" t="s">
        <v>6</v>
      </c>
      <c r="Z7" s="3" t="s">
        <v>7</v>
      </c>
      <c r="AA7" s="3" t="s">
        <v>8</v>
      </c>
      <c r="AB7" s="2" t="s">
        <v>9</v>
      </c>
      <c r="AC7" s="3" t="s">
        <v>6</v>
      </c>
      <c r="AD7" s="3" t="s">
        <v>7</v>
      </c>
      <c r="AE7" s="28" t="s">
        <v>8</v>
      </c>
      <c r="AF7" s="20">
        <f t="shared" si="0"/>
        <v>6</v>
      </c>
      <c r="AG7" s="17">
        <f>COUNTIF(B7:AE7,"야")</f>
        <v>8</v>
      </c>
      <c r="AH7" s="17">
        <f t="shared" si="1"/>
        <v>8</v>
      </c>
      <c r="AI7" s="17">
        <f>COUNTIF(B7:AE7,"휴")</f>
        <v>8</v>
      </c>
      <c r="AJ7" s="17">
        <f>COUNTIF(B7:AE7,"연")</f>
        <v>0</v>
      </c>
      <c r="AK7" s="10">
        <f t="shared" si="2"/>
        <v>176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</row>
    <row r="8" spans="1:51" ht="30" customHeight="1">
      <c r="A8" s="27" t="s">
        <v>21</v>
      </c>
      <c r="B8" s="2" t="s">
        <v>9</v>
      </c>
      <c r="C8" s="2" t="s">
        <v>7</v>
      </c>
      <c r="D8" s="2" t="s">
        <v>8</v>
      </c>
      <c r="E8" s="2" t="s">
        <v>9</v>
      </c>
      <c r="F8" s="2" t="s">
        <v>6</v>
      </c>
      <c r="G8" s="2" t="s">
        <v>6</v>
      </c>
      <c r="H8" s="2" t="s">
        <v>6</v>
      </c>
      <c r="I8" s="2" t="s">
        <v>7</v>
      </c>
      <c r="J8" s="2" t="s">
        <v>8</v>
      </c>
      <c r="K8" s="3" t="s">
        <v>9</v>
      </c>
      <c r="L8" s="3" t="s">
        <v>7</v>
      </c>
      <c r="M8" s="2" t="s">
        <v>8</v>
      </c>
      <c r="N8" s="3" t="s">
        <v>9</v>
      </c>
      <c r="O8" s="3" t="s">
        <v>6</v>
      </c>
      <c r="P8" s="2" t="s">
        <v>7</v>
      </c>
      <c r="Q8" s="2" t="s">
        <v>8</v>
      </c>
      <c r="R8" s="2" t="s">
        <v>9</v>
      </c>
      <c r="S8" s="2" t="s">
        <v>6</v>
      </c>
      <c r="T8" s="2" t="s">
        <v>7</v>
      </c>
      <c r="U8" s="2" t="s">
        <v>8</v>
      </c>
      <c r="V8" s="2" t="s">
        <v>9</v>
      </c>
      <c r="W8" s="2" t="s">
        <v>6</v>
      </c>
      <c r="X8" s="2" t="s">
        <v>7</v>
      </c>
      <c r="Y8" s="2" t="s">
        <v>8</v>
      </c>
      <c r="Z8" s="3" t="s">
        <v>9</v>
      </c>
      <c r="AA8" s="3" t="s">
        <v>7</v>
      </c>
      <c r="AB8" s="2" t="s">
        <v>8</v>
      </c>
      <c r="AC8" s="3" t="s">
        <v>9</v>
      </c>
      <c r="AD8" s="3" t="s">
        <v>7</v>
      </c>
      <c r="AE8" s="28" t="s">
        <v>8</v>
      </c>
      <c r="AF8" s="20">
        <f t="shared" si="0"/>
        <v>6</v>
      </c>
      <c r="AG8" s="17">
        <f>COUNTIF(B8:AE8,"야")</f>
        <v>8</v>
      </c>
      <c r="AH8" s="17">
        <f t="shared" si="1"/>
        <v>8</v>
      </c>
      <c r="AI8" s="17">
        <f>COUNTIF(B8:AE8,"휴")</f>
        <v>8</v>
      </c>
      <c r="AJ8" s="17">
        <f>COUNTIF(B8:AE8,"연")</f>
        <v>0</v>
      </c>
      <c r="AK8" s="10">
        <f t="shared" si="2"/>
        <v>176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</row>
    <row r="9" spans="1:51" ht="30" customHeight="1">
      <c r="A9" s="27" t="s">
        <v>22</v>
      </c>
      <c r="B9" s="2" t="s">
        <v>9</v>
      </c>
      <c r="C9" s="2" t="s">
        <v>9</v>
      </c>
      <c r="D9" s="2" t="s">
        <v>6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6</v>
      </c>
      <c r="J9" s="2" t="s">
        <v>6</v>
      </c>
      <c r="K9" s="3" t="s">
        <v>6</v>
      </c>
      <c r="L9" s="3" t="s">
        <v>7</v>
      </c>
      <c r="M9" s="2" t="s">
        <v>8</v>
      </c>
      <c r="N9" s="3" t="s">
        <v>9</v>
      </c>
      <c r="O9" s="3" t="s">
        <v>6</v>
      </c>
      <c r="P9" s="2" t="s">
        <v>6</v>
      </c>
      <c r="Q9" s="2" t="s">
        <v>6</v>
      </c>
      <c r="R9" s="2" t="s">
        <v>9</v>
      </c>
      <c r="S9" s="2" t="s">
        <v>7</v>
      </c>
      <c r="T9" s="2" t="s">
        <v>8</v>
      </c>
      <c r="U9" s="2" t="s">
        <v>9</v>
      </c>
      <c r="V9" s="2" t="s">
        <v>7</v>
      </c>
      <c r="W9" s="2" t="s">
        <v>8</v>
      </c>
      <c r="X9" s="2" t="s">
        <v>9</v>
      </c>
      <c r="Y9" s="2" t="s">
        <v>7</v>
      </c>
      <c r="Z9" s="3" t="s">
        <v>8</v>
      </c>
      <c r="AA9" s="3" t="s">
        <v>9</v>
      </c>
      <c r="AB9" s="2" t="s">
        <v>7</v>
      </c>
      <c r="AC9" s="3" t="s">
        <v>8</v>
      </c>
      <c r="AD9" s="3" t="s">
        <v>9</v>
      </c>
      <c r="AE9" s="28" t="s">
        <v>7</v>
      </c>
      <c r="AF9" s="20">
        <f t="shared" si="0"/>
        <v>8</v>
      </c>
      <c r="AG9" s="17">
        <f>COUNTIF(B9:AE9,"야")</f>
        <v>7</v>
      </c>
      <c r="AH9" s="17">
        <f t="shared" si="1"/>
        <v>6</v>
      </c>
      <c r="AI9" s="17">
        <f>COUNTIF(B9:AE9,"휴")</f>
        <v>9</v>
      </c>
      <c r="AJ9" s="17">
        <f>COUNTIF(B9:AE9,"연")</f>
        <v>0</v>
      </c>
      <c r="AK9" s="10">
        <f t="shared" si="2"/>
        <v>168</v>
      </c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</row>
    <row r="10" spans="1:51" ht="30" customHeight="1">
      <c r="A10" s="27" t="s">
        <v>23</v>
      </c>
      <c r="B10" s="2" t="s">
        <v>9</v>
      </c>
      <c r="C10" s="2" t="s">
        <v>7</v>
      </c>
      <c r="D10" s="2" t="s">
        <v>8</v>
      </c>
      <c r="E10" s="2" t="s">
        <v>9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7</v>
      </c>
      <c r="K10" s="3" t="s">
        <v>8</v>
      </c>
      <c r="L10" s="3" t="s">
        <v>9</v>
      </c>
      <c r="M10" s="2" t="s">
        <v>7</v>
      </c>
      <c r="N10" s="3" t="s">
        <v>8</v>
      </c>
      <c r="O10" s="3" t="s">
        <v>9</v>
      </c>
      <c r="P10" s="2" t="s">
        <v>6</v>
      </c>
      <c r="Q10" s="2" t="s">
        <v>6</v>
      </c>
      <c r="R10" s="2" t="s">
        <v>7</v>
      </c>
      <c r="S10" s="2" t="s">
        <v>8</v>
      </c>
      <c r="T10" s="2" t="s">
        <v>9</v>
      </c>
      <c r="U10" s="2" t="s">
        <v>6</v>
      </c>
      <c r="V10" s="2" t="s">
        <v>7</v>
      </c>
      <c r="W10" s="2" t="s">
        <v>8</v>
      </c>
      <c r="X10" s="2" t="s">
        <v>9</v>
      </c>
      <c r="Y10" s="2" t="s">
        <v>6</v>
      </c>
      <c r="Z10" s="3" t="s">
        <v>7</v>
      </c>
      <c r="AA10" s="3" t="s">
        <v>8</v>
      </c>
      <c r="AB10" s="2" t="s">
        <v>9</v>
      </c>
      <c r="AC10" s="3" t="s">
        <v>6</v>
      </c>
      <c r="AD10" s="3" t="s">
        <v>6</v>
      </c>
      <c r="AE10" s="28" t="s">
        <v>6</v>
      </c>
      <c r="AF10" s="20">
        <f t="shared" si="0"/>
        <v>8</v>
      </c>
      <c r="AG10" s="17">
        <f>COUNTIF(B10:AE10,"야")</f>
        <v>7</v>
      </c>
      <c r="AH10" s="17">
        <f t="shared" si="1"/>
        <v>7</v>
      </c>
      <c r="AI10" s="17">
        <f>COUNTIF(B10:AE10,"휴")</f>
        <v>8</v>
      </c>
      <c r="AJ10" s="17">
        <f>COUNTIF(B10:AE10,"연")</f>
        <v>0</v>
      </c>
      <c r="AK10" s="10">
        <f t="shared" si="2"/>
        <v>176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</row>
    <row r="11" spans="1:51" ht="30" customHeight="1">
      <c r="A11" s="27" t="s">
        <v>24</v>
      </c>
      <c r="B11" s="2" t="s">
        <v>6</v>
      </c>
      <c r="C11" s="2" t="s">
        <v>9</v>
      </c>
      <c r="D11" s="2" t="s">
        <v>9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7</v>
      </c>
      <c r="J11" s="2" t="s">
        <v>8</v>
      </c>
      <c r="K11" s="3" t="s">
        <v>9</v>
      </c>
      <c r="L11" s="3" t="s">
        <v>6</v>
      </c>
      <c r="M11" s="2" t="s">
        <v>7</v>
      </c>
      <c r="N11" s="3" t="s">
        <v>8</v>
      </c>
      <c r="O11" s="3" t="s">
        <v>9</v>
      </c>
      <c r="P11" s="2" t="s">
        <v>7</v>
      </c>
      <c r="Q11" s="2" t="s">
        <v>8</v>
      </c>
      <c r="R11" s="2" t="s">
        <v>9</v>
      </c>
      <c r="S11" s="2" t="s">
        <v>7</v>
      </c>
      <c r="T11" s="2" t="s">
        <v>8</v>
      </c>
      <c r="U11" s="2" t="s">
        <v>9</v>
      </c>
      <c r="V11" s="2" t="s">
        <v>6</v>
      </c>
      <c r="W11" s="2" t="s">
        <v>7</v>
      </c>
      <c r="X11" s="2" t="s">
        <v>8</v>
      </c>
      <c r="Y11" s="2" t="s">
        <v>9</v>
      </c>
      <c r="Z11" s="3" t="s">
        <v>6</v>
      </c>
      <c r="AA11" s="3" t="s">
        <v>6</v>
      </c>
      <c r="AB11" s="2" t="s">
        <v>7</v>
      </c>
      <c r="AC11" s="3" t="s">
        <v>8</v>
      </c>
      <c r="AD11" s="3" t="s">
        <v>9</v>
      </c>
      <c r="AE11" s="28" t="s">
        <v>7</v>
      </c>
      <c r="AF11" s="20">
        <f t="shared" si="0"/>
        <v>6</v>
      </c>
      <c r="AG11" s="17">
        <f>COUNTIF(B11:AE11,"야")</f>
        <v>8</v>
      </c>
      <c r="AH11" s="17">
        <f t="shared" si="1"/>
        <v>7</v>
      </c>
      <c r="AI11" s="17">
        <f>COUNTIF(B11:AE11,"휴")</f>
        <v>9</v>
      </c>
      <c r="AJ11" s="17">
        <f>COUNTIF(B11:AE11,"연")</f>
        <v>0</v>
      </c>
      <c r="AK11" s="10">
        <f t="shared" si="2"/>
        <v>168</v>
      </c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</row>
    <row r="12" spans="1:51" ht="30" customHeight="1" thickBot="1">
      <c r="A12" s="29" t="s">
        <v>25</v>
      </c>
      <c r="B12" s="30" t="s">
        <v>7</v>
      </c>
      <c r="C12" s="30" t="s">
        <v>8</v>
      </c>
      <c r="D12" s="30" t="s">
        <v>9</v>
      </c>
      <c r="E12" s="30" t="s">
        <v>7</v>
      </c>
      <c r="F12" s="30" t="s">
        <v>8</v>
      </c>
      <c r="G12" s="30" t="s">
        <v>9</v>
      </c>
      <c r="H12" s="30" t="s">
        <v>7</v>
      </c>
      <c r="I12" s="30" t="s">
        <v>8</v>
      </c>
      <c r="J12" s="30" t="s">
        <v>9</v>
      </c>
      <c r="K12" s="30" t="s">
        <v>7</v>
      </c>
      <c r="L12" s="31" t="s">
        <v>8</v>
      </c>
      <c r="M12" s="31" t="s">
        <v>9</v>
      </c>
      <c r="N12" s="30" t="s">
        <v>7</v>
      </c>
      <c r="O12" s="31" t="s">
        <v>8</v>
      </c>
      <c r="P12" s="31" t="s">
        <v>9</v>
      </c>
      <c r="Q12" s="30" t="s">
        <v>7</v>
      </c>
      <c r="R12" s="30" t="s">
        <v>8</v>
      </c>
      <c r="S12" s="30" t="s">
        <v>9</v>
      </c>
      <c r="T12" s="30" t="s">
        <v>6</v>
      </c>
      <c r="U12" s="30" t="s">
        <v>6</v>
      </c>
      <c r="V12" s="30" t="s">
        <v>6</v>
      </c>
      <c r="W12" s="30" t="s">
        <v>7</v>
      </c>
      <c r="X12" s="30" t="s">
        <v>8</v>
      </c>
      <c r="Y12" s="30" t="s">
        <v>9</v>
      </c>
      <c r="Z12" s="30" t="s">
        <v>6</v>
      </c>
      <c r="AA12" s="31" t="s">
        <v>6</v>
      </c>
      <c r="AB12" s="31" t="s">
        <v>6</v>
      </c>
      <c r="AC12" s="30" t="s">
        <v>7</v>
      </c>
      <c r="AD12" s="31" t="s">
        <v>8</v>
      </c>
      <c r="AE12" s="32" t="s">
        <v>9</v>
      </c>
      <c r="AF12" s="21">
        <f t="shared" si="0"/>
        <v>6</v>
      </c>
      <c r="AG12" s="9">
        <f>COUNTIF(B12:AE12,"야")</f>
        <v>8</v>
      </c>
      <c r="AH12" s="17">
        <f t="shared" si="1"/>
        <v>8</v>
      </c>
      <c r="AI12" s="9">
        <f>COUNTIF(B12:AE12,"휴")</f>
        <v>8</v>
      </c>
      <c r="AJ12" s="9">
        <f>COUNTIF(B12:AE12,"연")</f>
        <v>0</v>
      </c>
      <c r="AK12" s="10">
        <f t="shared" si="2"/>
        <v>176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</row>
    <row r="13" spans="1:51" ht="31.2" customHeight="1">
      <c r="A13" s="6" t="s">
        <v>27</v>
      </c>
      <c r="B13" s="12">
        <f>COUNTIF(B5:B12,"주")</f>
        <v>2</v>
      </c>
      <c r="C13" s="12">
        <f>COUNTIF(C5:C12,"주")</f>
        <v>2</v>
      </c>
      <c r="D13" s="12">
        <f>COUNTIF(D5:D12,"주")</f>
        <v>1</v>
      </c>
      <c r="E13" s="12">
        <f>COUNTIF(E5:E12,"주")</f>
        <v>2</v>
      </c>
      <c r="F13" s="12">
        <f>COUNTIF(F5:F12,"주")</f>
        <v>2</v>
      </c>
      <c r="G13" s="12">
        <f>COUNTIF(G5:G12,"주")</f>
        <v>2</v>
      </c>
      <c r="H13" s="12">
        <f>COUNTIF(H5:H12,"주")</f>
        <v>1</v>
      </c>
      <c r="I13" s="12">
        <f>COUNTIF(I5:I12,"주")</f>
        <v>2</v>
      </c>
      <c r="J13" s="12">
        <f>COUNTIF(J5:J12,"주")</f>
        <v>2</v>
      </c>
      <c r="K13" s="12">
        <f>COUNTIF(K5:K12,"주")</f>
        <v>2</v>
      </c>
      <c r="L13" s="12">
        <f>COUNTIF(L5:L12,"주")</f>
        <v>2</v>
      </c>
      <c r="M13" s="12">
        <f>COUNTIF(M5:M12,"주")</f>
        <v>2</v>
      </c>
      <c r="N13" s="12">
        <f>COUNTIF(N5:N12,"주")</f>
        <v>2</v>
      </c>
      <c r="O13" s="12">
        <f>COUNTIF(O5:O12,"주")</f>
        <v>2</v>
      </c>
      <c r="P13" s="12">
        <f>COUNTIF(P5:P12,"주")</f>
        <v>2</v>
      </c>
      <c r="Q13" s="12">
        <f>COUNTIF(Q5:Q12,"주")</f>
        <v>2</v>
      </c>
      <c r="R13" s="12">
        <f>COUNTIF(R5:R12,"주")</f>
        <v>1</v>
      </c>
      <c r="S13" s="12">
        <f>COUNTIF(S5:S12,"주")</f>
        <v>2</v>
      </c>
      <c r="T13" s="12">
        <f>COUNTIF(T5:T12,"주")</f>
        <v>2</v>
      </c>
      <c r="U13" s="12">
        <f>COUNTIF(U5:U12,"주")</f>
        <v>2</v>
      </c>
      <c r="V13" s="12">
        <f>COUNTIF(V5:V12,"주")</f>
        <v>2</v>
      </c>
      <c r="W13" s="12">
        <f>COUNTIF(W5:W12,"주")</f>
        <v>2</v>
      </c>
      <c r="X13" s="12">
        <f>COUNTIF(X5:X12,"주")</f>
        <v>1</v>
      </c>
      <c r="Y13" s="12">
        <f>COUNTIF(Y5:Y12,"주")</f>
        <v>2</v>
      </c>
      <c r="Z13" s="12">
        <f>COUNTIF(Z5:Z12,"주")</f>
        <v>2</v>
      </c>
      <c r="AA13" s="12">
        <f>COUNTIF(AA5:AA12,"주")</f>
        <v>2</v>
      </c>
      <c r="AB13" s="12">
        <f>COUNTIF(AB5:AB12,"주")</f>
        <v>2</v>
      </c>
      <c r="AC13" s="12">
        <f>COUNTIF(AC5:AC12,"주")</f>
        <v>2</v>
      </c>
      <c r="AD13" s="12">
        <f>COUNTIF(AD5:AD12,"주")</f>
        <v>2</v>
      </c>
      <c r="AE13" s="13">
        <f>COUNTIF(AE5:AE12,"주")</f>
        <v>2</v>
      </c>
      <c r="AF13" s="36"/>
      <c r="AG13" s="36"/>
      <c r="AH13" s="36"/>
      <c r="AI13" s="36"/>
      <c r="AJ13" s="36"/>
      <c r="AK13" s="36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</row>
    <row r="14" spans="1:51" ht="31.2" customHeight="1">
      <c r="A14" s="4" t="s">
        <v>28</v>
      </c>
      <c r="B14" s="11">
        <f>COUNTIF(B5:B12,"야")</f>
        <v>2</v>
      </c>
      <c r="C14" s="11">
        <f>COUNTIF(C5:C12,"야")</f>
        <v>2</v>
      </c>
      <c r="D14" s="11">
        <f>COUNTIF(D5:D12,"야")</f>
        <v>2</v>
      </c>
      <c r="E14" s="11">
        <f>COUNTIF(E5:E12,"야")</f>
        <v>2</v>
      </c>
      <c r="F14" s="11">
        <f>COUNTIF(F5:F12,"야")</f>
        <v>2</v>
      </c>
      <c r="G14" s="11">
        <f>COUNTIF(G5:G12,"야")</f>
        <v>2</v>
      </c>
      <c r="H14" s="11">
        <f>COUNTIF(H5:H12,"야")</f>
        <v>2</v>
      </c>
      <c r="I14" s="11">
        <f>COUNTIF(I5:I12,"야")</f>
        <v>2</v>
      </c>
      <c r="J14" s="11">
        <f>COUNTIF(J5:J12,"야")</f>
        <v>2</v>
      </c>
      <c r="K14" s="11">
        <f>COUNTIF(K5:K12,"야")</f>
        <v>2</v>
      </c>
      <c r="L14" s="11">
        <f>COUNTIF(L5:L12,"야")</f>
        <v>2</v>
      </c>
      <c r="M14" s="11">
        <f>COUNTIF(M5:M12,"야")</f>
        <v>2</v>
      </c>
      <c r="N14" s="11">
        <f>COUNTIF(N5:N12,"야")</f>
        <v>2</v>
      </c>
      <c r="O14" s="11">
        <f>COUNTIF(O5:O12,"야")</f>
        <v>2</v>
      </c>
      <c r="P14" s="11">
        <f>COUNTIF(P5:P12,"야")</f>
        <v>2</v>
      </c>
      <c r="Q14" s="11">
        <f>COUNTIF(Q5:Q12,"야")</f>
        <v>2</v>
      </c>
      <c r="R14" s="11">
        <f>COUNTIF(R5:R12,"야")</f>
        <v>2</v>
      </c>
      <c r="S14" s="11">
        <f>COUNTIF(S5:S12,"야")</f>
        <v>2</v>
      </c>
      <c r="T14" s="11">
        <f>COUNTIF(T5:T12,"야")</f>
        <v>2</v>
      </c>
      <c r="U14" s="11">
        <f>COUNTIF(U5:U12,"야")</f>
        <v>2</v>
      </c>
      <c r="V14" s="11">
        <f>COUNTIF(V5:V12,"야")</f>
        <v>2</v>
      </c>
      <c r="W14" s="11">
        <f>COUNTIF(W5:W12,"야")</f>
        <v>2</v>
      </c>
      <c r="X14" s="11">
        <f>COUNTIF(X5:X12,"야")</f>
        <v>2</v>
      </c>
      <c r="Y14" s="11">
        <f>COUNTIF(Y5:Y12,"야")</f>
        <v>2</v>
      </c>
      <c r="Z14" s="11">
        <f>COUNTIF(Z5:Z12,"야")</f>
        <v>2</v>
      </c>
      <c r="AA14" s="11">
        <f>COUNTIF(AA5:AA12,"야")</f>
        <v>2</v>
      </c>
      <c r="AB14" s="11">
        <f>COUNTIF(AB5:AB12,"야")</f>
        <v>2</v>
      </c>
      <c r="AC14" s="11">
        <f>COUNTIF(AC5:AC12,"야")</f>
        <v>2</v>
      </c>
      <c r="AD14" s="11">
        <f>COUNTIF(AD5:AD12,"야")</f>
        <v>2</v>
      </c>
      <c r="AE14" s="14">
        <f>COUNTIF(AE5:AE12,"야")</f>
        <v>2</v>
      </c>
      <c r="AF14" s="37"/>
      <c r="AG14" s="37"/>
      <c r="AH14" s="37"/>
      <c r="AI14" s="37"/>
      <c r="AJ14" s="37"/>
      <c r="AK14" s="37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</row>
    <row r="15" spans="1:51" ht="30.6" customHeight="1">
      <c r="A15" s="4" t="s">
        <v>30</v>
      </c>
      <c r="B15" s="11">
        <f>COUNTIF(B4:B11,"비")</f>
        <v>0</v>
      </c>
      <c r="C15" s="11">
        <f>COUNTIF(C4:C11,"비")</f>
        <v>1</v>
      </c>
      <c r="D15" s="11">
        <f>COUNTIF(D4:D11,"비")</f>
        <v>2</v>
      </c>
      <c r="E15" s="11">
        <f>COUNTIF(E4:E11,"비")</f>
        <v>2</v>
      </c>
      <c r="F15" s="11">
        <f>COUNTIF(F4:F11,"비")</f>
        <v>1</v>
      </c>
      <c r="G15" s="11">
        <f>COUNTIF(G4:G11,"비")</f>
        <v>2</v>
      </c>
      <c r="H15" s="11">
        <f>COUNTIF(H4:H11,"비")</f>
        <v>2</v>
      </c>
      <c r="I15" s="11">
        <f>COUNTIF(I4:I11,"비")</f>
        <v>1</v>
      </c>
      <c r="J15" s="11">
        <f>COUNTIF(J4:J11,"비")</f>
        <v>2</v>
      </c>
      <c r="K15" s="11">
        <f>COUNTIF(K4:K11,"비")</f>
        <v>2</v>
      </c>
      <c r="L15" s="11">
        <f>COUNTIF(L4:L11,"비")</f>
        <v>1</v>
      </c>
      <c r="M15" s="11">
        <f>COUNTIF(M4:M11,"비")</f>
        <v>2</v>
      </c>
      <c r="N15" s="11">
        <f>COUNTIF(N4:N11,"비")</f>
        <v>2</v>
      </c>
      <c r="O15" s="11">
        <f>COUNTIF(O4:O11,"비")</f>
        <v>1</v>
      </c>
      <c r="P15" s="11">
        <f>COUNTIF(P4:P11,"비")</f>
        <v>2</v>
      </c>
      <c r="Q15" s="11">
        <f>COUNTIF(Q4:Q11,"비")</f>
        <v>2</v>
      </c>
      <c r="R15" s="11">
        <f>COUNTIF(R4:R11,"비")</f>
        <v>1</v>
      </c>
      <c r="S15" s="11">
        <f>COUNTIF(S4:S11,"비")</f>
        <v>2</v>
      </c>
      <c r="T15" s="11">
        <f>COUNTIF(T4:T11,"비")</f>
        <v>2</v>
      </c>
      <c r="U15" s="11">
        <f>COUNTIF(U4:U11,"비")</f>
        <v>2</v>
      </c>
      <c r="V15" s="11">
        <f>COUNTIF(V4:V11,"비")</f>
        <v>2</v>
      </c>
      <c r="W15" s="11">
        <f>COUNTIF(W4:W11,"비")</f>
        <v>2</v>
      </c>
      <c r="X15" s="11">
        <f>COUNTIF(X4:X11,"비")</f>
        <v>1</v>
      </c>
      <c r="Y15" s="11">
        <f>COUNTIF(Y4:Y11,"비")</f>
        <v>2</v>
      </c>
      <c r="Z15" s="11">
        <f>COUNTIF(Z4:Z11,"비")</f>
        <v>2</v>
      </c>
      <c r="AA15" s="11">
        <f>COUNTIF(AA4:AA11,"비")</f>
        <v>2</v>
      </c>
      <c r="AB15" s="11">
        <f>COUNTIF(AB4:AB11,"비")</f>
        <v>2</v>
      </c>
      <c r="AC15" s="11">
        <f>COUNTIF(AC4:AC11,"비")</f>
        <v>2</v>
      </c>
      <c r="AD15" s="11">
        <f>COUNTIF(AD4:AD11,"비")</f>
        <v>1</v>
      </c>
      <c r="AE15" s="14">
        <f>COUNTIF(AE4:AE11,"비")</f>
        <v>2</v>
      </c>
      <c r="AF15" s="37"/>
      <c r="AG15" s="37"/>
      <c r="AH15" s="37"/>
      <c r="AI15" s="37"/>
      <c r="AJ15" s="37"/>
      <c r="AK15" s="37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</row>
    <row r="16" spans="1:51" ht="30.6" customHeight="1" thickBot="1">
      <c r="A16" s="5" t="s">
        <v>29</v>
      </c>
      <c r="B16" s="15">
        <f t="shared" ref="B16:AE16" si="3">COUNTIF(B6:B13,"휴")</f>
        <v>3</v>
      </c>
      <c r="C16" s="15">
        <f t="shared" si="3"/>
        <v>2</v>
      </c>
      <c r="D16" s="15">
        <f t="shared" si="3"/>
        <v>3</v>
      </c>
      <c r="E16" s="15">
        <f t="shared" si="3"/>
        <v>2</v>
      </c>
      <c r="F16" s="15">
        <f t="shared" si="3"/>
        <v>1</v>
      </c>
      <c r="G16" s="15">
        <f t="shared" si="3"/>
        <v>2</v>
      </c>
      <c r="H16" s="15">
        <f t="shared" si="3"/>
        <v>3</v>
      </c>
      <c r="I16" s="15">
        <f t="shared" si="3"/>
        <v>2</v>
      </c>
      <c r="J16" s="15">
        <f t="shared" si="3"/>
        <v>1</v>
      </c>
      <c r="K16" s="15">
        <f t="shared" si="3"/>
        <v>2</v>
      </c>
      <c r="L16" s="15">
        <f t="shared" si="3"/>
        <v>2</v>
      </c>
      <c r="M16" s="15">
        <f t="shared" si="3"/>
        <v>2</v>
      </c>
      <c r="N16" s="15">
        <f t="shared" si="3"/>
        <v>2</v>
      </c>
      <c r="O16" s="15">
        <f t="shared" si="3"/>
        <v>2</v>
      </c>
      <c r="P16" s="15">
        <f t="shared" si="3"/>
        <v>1</v>
      </c>
      <c r="Q16" s="15">
        <f t="shared" si="3"/>
        <v>2</v>
      </c>
      <c r="R16" s="15">
        <f t="shared" si="3"/>
        <v>3</v>
      </c>
      <c r="S16" s="15">
        <f t="shared" si="3"/>
        <v>1</v>
      </c>
      <c r="T16" s="15">
        <f t="shared" si="3"/>
        <v>2</v>
      </c>
      <c r="U16" s="15">
        <f t="shared" si="3"/>
        <v>2</v>
      </c>
      <c r="V16" s="15">
        <f t="shared" si="3"/>
        <v>2</v>
      </c>
      <c r="W16" s="15">
        <f t="shared" si="3"/>
        <v>1</v>
      </c>
      <c r="X16" s="15">
        <f t="shared" si="3"/>
        <v>3</v>
      </c>
      <c r="Y16" s="15">
        <f t="shared" si="3"/>
        <v>2</v>
      </c>
      <c r="Z16" s="15">
        <f t="shared" si="3"/>
        <v>1</v>
      </c>
      <c r="AA16" s="15">
        <f t="shared" si="3"/>
        <v>2</v>
      </c>
      <c r="AB16" s="15">
        <f t="shared" si="3"/>
        <v>2</v>
      </c>
      <c r="AC16" s="15">
        <f t="shared" si="3"/>
        <v>1</v>
      </c>
      <c r="AD16" s="15">
        <f t="shared" si="3"/>
        <v>2</v>
      </c>
      <c r="AE16" s="16">
        <f t="shared" si="3"/>
        <v>2</v>
      </c>
      <c r="AF16" s="37"/>
      <c r="AG16" s="37"/>
      <c r="AH16" s="37"/>
      <c r="AI16" s="37"/>
      <c r="AJ16" s="37"/>
      <c r="AK16" s="37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</row>
    <row r="17" spans="1:47" ht="96.6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</row>
    <row r="18" spans="1:47" ht="96.6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</row>
    <row r="19" spans="1:47" ht="96.6" customHeight="1"/>
    <row r="20" spans="1:47" ht="96.6" customHeight="1"/>
    <row r="21" spans="1:47" ht="96.6" customHeight="1"/>
    <row r="22" spans="1:47" ht="96.6" customHeight="1"/>
    <row r="23" spans="1:47" ht="96.6" customHeight="1"/>
    <row r="24" spans="1:47" ht="96.6" customHeight="1"/>
    <row r="25" spans="1:47" ht="96.6" customHeight="1"/>
    <row r="26" spans="1:47" ht="96.6" customHeight="1"/>
    <row r="27" spans="1:47" ht="96.6" customHeight="1"/>
  </sheetData>
  <mergeCells count="1">
    <mergeCell ref="D1:AA2"/>
  </mergeCells>
  <phoneticPr fontId="3" type="noConversion"/>
  <conditionalFormatting sqref="B4:AE12">
    <cfRule type="containsText" dxfId="6" priority="6" stopIfTrue="1" operator="containsText" text="일">
      <formula>NOT(ISERROR(SEARCH(("일"),(B4))))</formula>
    </cfRule>
    <cfRule type="containsText" dxfId="5" priority="7" stopIfTrue="1" operator="containsText" text="토">
      <formula>NOT(ISERROR(SEARCH(("토"),(B4))))</formula>
    </cfRule>
  </conditionalFormatting>
  <conditionalFormatting sqref="B5:AE12">
    <cfRule type="cellIs" dxfId="4" priority="1" operator="equal">
      <formula>"연"</formula>
    </cfRule>
    <cfRule type="cellIs" dxfId="3" priority="2" operator="equal">
      <formula>"야"</formula>
    </cfRule>
    <cfRule type="cellIs" dxfId="2" priority="3" operator="equal">
      <formula>"주"</formula>
    </cfRule>
    <cfRule type="cellIs" dxfId="1" priority="4" operator="equal">
      <formula>"휴"</formula>
    </cfRule>
    <cfRule type="cellIs" dxfId="0" priority="5" operator="equal">
      <formula>"비"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김동현</cp:lastModifiedBy>
  <dcterms:created xsi:type="dcterms:W3CDTF">2026-03-24T07:50:11Z</dcterms:created>
  <dcterms:modified xsi:type="dcterms:W3CDTF">2026-05-12T10:08:17Z</dcterms:modified>
</cp:coreProperties>
</file>