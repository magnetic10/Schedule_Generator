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파이썬 프로젝트\근무표생성기\근무표서식\"/>
    </mc:Choice>
  </mc:AlternateContent>
  <xr:revisionPtr revIDLastSave="0" documentId="13_ncr:1_{92EBA0AC-8A74-44E8-BC3D-763A76E908BB}" xr6:coauthVersionLast="47" xr6:coauthVersionMax="47" xr10:uidLastSave="{00000000-0000-0000-0000-000000000000}"/>
  <bookViews>
    <workbookView xWindow="-108" yWindow="-108" windowWidth="30936" windowHeight="16776" xr2:uid="{6B319A6F-7DAB-44A4-9F23-ACB8B781E5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5" i="1" l="1"/>
  <c r="AD28" i="1" s="1"/>
  <c r="AD26" i="1"/>
  <c r="AD27" i="1"/>
  <c r="AG11" i="1"/>
  <c r="AI11" i="1" s="1"/>
  <c r="AH11" i="1"/>
  <c r="AJ11" i="1"/>
  <c r="AK11" i="1"/>
  <c r="AG12" i="1"/>
  <c r="AI12" i="1" s="1"/>
  <c r="AH12" i="1"/>
  <c r="AJ12" i="1"/>
  <c r="AK12" i="1"/>
  <c r="AG13" i="1"/>
  <c r="AH13" i="1"/>
  <c r="AJ13" i="1"/>
  <c r="AK13" i="1"/>
  <c r="AG14" i="1"/>
  <c r="AI14" i="1" s="1"/>
  <c r="AH14" i="1"/>
  <c r="AJ14" i="1"/>
  <c r="AK14" i="1"/>
  <c r="AG15" i="1"/>
  <c r="AI15" i="1" s="1"/>
  <c r="AH15" i="1"/>
  <c r="AJ15" i="1"/>
  <c r="AK15" i="1"/>
  <c r="AG16" i="1"/>
  <c r="AI16" i="1" s="1"/>
  <c r="AH16" i="1"/>
  <c r="AJ16" i="1"/>
  <c r="AK16" i="1"/>
  <c r="AG17" i="1"/>
  <c r="AI17" i="1" s="1"/>
  <c r="AH17" i="1"/>
  <c r="AJ17" i="1"/>
  <c r="AK17" i="1"/>
  <c r="AG18" i="1"/>
  <c r="AI18" i="1" s="1"/>
  <c r="AH18" i="1"/>
  <c r="AJ18" i="1"/>
  <c r="AK18" i="1"/>
  <c r="AG19" i="1"/>
  <c r="AI19" i="1" s="1"/>
  <c r="AH19" i="1"/>
  <c r="AJ19" i="1"/>
  <c r="AK19" i="1"/>
  <c r="AG20" i="1"/>
  <c r="AI20" i="1" s="1"/>
  <c r="AH20" i="1"/>
  <c r="AJ20" i="1"/>
  <c r="AK20" i="1"/>
  <c r="AG21" i="1"/>
  <c r="AI21" i="1" s="1"/>
  <c r="AH21" i="1"/>
  <c r="AJ21" i="1"/>
  <c r="AK21" i="1"/>
  <c r="AG22" i="1"/>
  <c r="AI22" i="1" s="1"/>
  <c r="AH22" i="1"/>
  <c r="AJ22" i="1"/>
  <c r="AK22" i="1"/>
  <c r="AF27" i="1"/>
  <c r="AE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J6" i="1"/>
  <c r="AH6" i="1"/>
  <c r="AK6" i="1"/>
  <c r="AG6" i="1"/>
  <c r="AJ7" i="1"/>
  <c r="AH7" i="1"/>
  <c r="AK7" i="1"/>
  <c r="AG7" i="1"/>
  <c r="AJ8" i="1"/>
  <c r="AH8" i="1"/>
  <c r="AK8" i="1"/>
  <c r="AG8" i="1"/>
  <c r="AJ9" i="1"/>
  <c r="AH9" i="1"/>
  <c r="AK9" i="1"/>
  <c r="AG9" i="1"/>
  <c r="AJ10" i="1"/>
  <c r="AH10" i="1"/>
  <c r="AK10" i="1"/>
  <c r="AG10" i="1"/>
  <c r="AJ23" i="1"/>
  <c r="AH23" i="1"/>
  <c r="AK23" i="1"/>
  <c r="AG23" i="1"/>
  <c r="AF26" i="1"/>
  <c r="AE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F25" i="1"/>
  <c r="AF28" i="1" s="1"/>
  <c r="AE25" i="1"/>
  <c r="AE28" i="1" s="1"/>
  <c r="AC25" i="1"/>
  <c r="AC28" i="1" s="1"/>
  <c r="AB25" i="1"/>
  <c r="AB28" i="1" s="1"/>
  <c r="AA25" i="1"/>
  <c r="AA28" i="1" s="1"/>
  <c r="Z25" i="1"/>
  <c r="Z28" i="1" s="1"/>
  <c r="Y25" i="1"/>
  <c r="Y28" i="1" s="1"/>
  <c r="X25" i="1"/>
  <c r="X28" i="1" s="1"/>
  <c r="W25" i="1"/>
  <c r="W28" i="1" s="1"/>
  <c r="V25" i="1"/>
  <c r="V28" i="1" s="1"/>
  <c r="U25" i="1"/>
  <c r="U28" i="1" s="1"/>
  <c r="T25" i="1"/>
  <c r="T28" i="1" s="1"/>
  <c r="S25" i="1"/>
  <c r="S28" i="1" s="1"/>
  <c r="R25" i="1"/>
  <c r="R28" i="1" s="1"/>
  <c r="Q25" i="1"/>
  <c r="Q28" i="1" s="1"/>
  <c r="P25" i="1"/>
  <c r="P28" i="1" s="1"/>
  <c r="O25" i="1"/>
  <c r="O28" i="1" s="1"/>
  <c r="N25" i="1"/>
  <c r="N28" i="1" s="1"/>
  <c r="M25" i="1"/>
  <c r="M28" i="1" s="1"/>
  <c r="L25" i="1"/>
  <c r="L28" i="1" s="1"/>
  <c r="K25" i="1"/>
  <c r="K28" i="1" s="1"/>
  <c r="J25" i="1"/>
  <c r="J28" i="1" s="1"/>
  <c r="I25" i="1"/>
  <c r="I28" i="1" s="1"/>
  <c r="H25" i="1"/>
  <c r="H28" i="1" s="1"/>
  <c r="G25" i="1"/>
  <c r="G28" i="1" s="1"/>
  <c r="F25" i="1"/>
  <c r="F28" i="1" s="1"/>
  <c r="E25" i="1"/>
  <c r="E28" i="1" s="1"/>
  <c r="D25" i="1"/>
  <c r="D28" i="1" s="1"/>
  <c r="C25" i="1"/>
  <c r="C28" i="1" s="1"/>
  <c r="B25" i="1"/>
  <c r="B28" i="1" s="1"/>
  <c r="AJ24" i="1"/>
  <c r="AH24" i="1"/>
  <c r="AK24" i="1"/>
  <c r="AG24" i="1"/>
  <c r="AJ5" i="1"/>
  <c r="AH5" i="1"/>
  <c r="AK5" i="1"/>
  <c r="AG5" i="1"/>
  <c r="AL12" i="1" l="1"/>
  <c r="AL19" i="1"/>
  <c r="AL15" i="1"/>
  <c r="AL22" i="1"/>
  <c r="AL14" i="1"/>
  <c r="AL20" i="1"/>
  <c r="AI13" i="1"/>
  <c r="AL13" i="1" s="1"/>
  <c r="AL18" i="1"/>
  <c r="AL17" i="1"/>
  <c r="AL11" i="1"/>
  <c r="AL16" i="1"/>
  <c r="AL21" i="1"/>
  <c r="AI5" i="1"/>
  <c r="AL5" i="1" s="1"/>
  <c r="AI24" i="1"/>
  <c r="AL24" i="1" s="1"/>
  <c r="AI23" i="1"/>
  <c r="AL23" i="1" s="1"/>
  <c r="AI8" i="1"/>
  <c r="AL8" i="1" s="1"/>
  <c r="AI7" i="1"/>
  <c r="AL7" i="1" s="1"/>
  <c r="AI9" i="1"/>
  <c r="AL9" i="1" s="1"/>
  <c r="AI6" i="1"/>
  <c r="AL6" i="1" s="1"/>
  <c r="AI10" i="1"/>
  <c r="AL10" i="1" s="1"/>
</calcChain>
</file>

<file path=xl/sharedStrings.xml><?xml version="1.0" encoding="utf-8"?>
<sst xmlns="http://schemas.openxmlformats.org/spreadsheetml/2006/main" count="684" uniqueCount="29">
  <si>
    <t>요일</t>
  </si>
  <si>
    <t>주</t>
  </si>
  <si>
    <t>연</t>
  </si>
  <si>
    <t>야</t>
  </si>
  <si>
    <t>휴</t>
  </si>
  <si>
    <t>근무시간</t>
  </si>
  <si>
    <t>주</t>
    <phoneticPr fontId="3" type="noConversion"/>
  </si>
  <si>
    <t>야</t>
    <phoneticPr fontId="3" type="noConversion"/>
  </si>
  <si>
    <t>비</t>
    <phoneticPr fontId="3" type="noConversion"/>
  </si>
  <si>
    <t>휴</t>
    <phoneticPr fontId="3" type="noConversion"/>
  </si>
  <si>
    <t>일</t>
    <phoneticPr fontId="3" type="noConversion"/>
  </si>
  <si>
    <t>월</t>
    <phoneticPr fontId="3" type="noConversion"/>
  </si>
  <si>
    <t>화</t>
    <phoneticPr fontId="3" type="noConversion"/>
  </si>
  <si>
    <t>2026년 4월 사회복무요원 시간표</t>
    <phoneticPr fontId="3" type="noConversion"/>
  </si>
  <si>
    <t>수</t>
    <phoneticPr fontId="3" type="noConversion"/>
  </si>
  <si>
    <t>목</t>
    <phoneticPr fontId="3" type="noConversion"/>
  </si>
  <si>
    <t>금</t>
    <phoneticPr fontId="3" type="noConversion"/>
  </si>
  <si>
    <t>토</t>
    <phoneticPr fontId="3" type="noConversion"/>
  </si>
  <si>
    <t>일자</t>
    <phoneticPr fontId="3" type="noConversion"/>
  </si>
  <si>
    <t>주간</t>
    <phoneticPr fontId="3" type="noConversion"/>
  </si>
  <si>
    <t>야간</t>
    <phoneticPr fontId="3" type="noConversion"/>
  </si>
  <si>
    <t>휴무</t>
    <phoneticPr fontId="3" type="noConversion"/>
  </si>
  <si>
    <t>비번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</si>
  <si>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</si>
  <si>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</si>
  <si>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</si>
  <si>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훈</t>
    <phoneticPr fontId="3" type="noConversion"/>
  </si>
  <si>
    <t>연</t>
    <phoneticPr fontId="3" type="noConversion"/>
  </si>
  <si>
    <t>교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</si>
</sst>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4"/>
      <color rgb="FF000000"/>
      <name val="Dotum"/>
      <family val="3"/>
      <charset val="129"/>
    </font>
    <font>
      <sz val="8"/>
      <name val="맑은 고딕"/>
      <family val="2"/>
      <charset val="129"/>
      <scheme val="minor"/>
    </font>
    <font>
      <b/>
      <sz val="12"/>
      <color rgb="FF000000"/>
      <name val="Dotum"/>
      <family val="3"/>
      <charset val="129"/>
    </font>
    <font>
      <b/>
      <sz val="11"/>
      <color rgb="FF000000"/>
      <name val="Dotum"/>
      <family val="3"/>
      <charset val="129"/>
    </font>
    <font>
      <sz val="11"/>
      <color rgb="FF000000"/>
      <name val="Dotum"/>
      <family val="3"/>
      <charset val="129"/>
    </font>
    <font>
      <b/>
      <sz val="11"/>
      <color rgb="FF00B050"/>
      <name val="Dotum"/>
      <family val="3"/>
      <charset val="129"/>
    </font>
    <font>
      <b/>
      <sz val="11"/>
      <color rgb="FFFA7D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E9FECE"/>
        <bgColor rgb="FFE6E0EC"/>
      </patternFill>
    </fill>
  </fills>
  <borders count="2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medium">
        <color indexed="64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6" fillId="0" borderId="0"/>
    <xf numFmtId="0" fontId="8" fillId="3" borderId="1" applyNumberFormat="0" applyAlignment="0" applyProtection="0">
      <alignment vertical="center"/>
    </xf>
    <xf numFmtId="0" fontId="1" fillId="4" borderId="2" applyNumberFormat="0" applyFont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5" fillId="0" borderId="3" xfId="0" applyFont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  <xf numFmtId="0" fontId="5" fillId="2" borderId="3" xfId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0" fillId="3" borderId="13" xfId="2" applyFont="1" applyBorder="1" applyAlignment="1">
      <alignment horizontal="center" vertical="center"/>
    </xf>
    <xf numFmtId="0" fontId="10" fillId="3" borderId="14" xfId="2" applyFont="1" applyBorder="1" applyAlignment="1">
      <alignment horizontal="center" vertical="center"/>
    </xf>
    <xf numFmtId="0" fontId="10" fillId="3" borderId="15" xfId="2" applyFont="1" applyBorder="1" applyAlignment="1">
      <alignment horizontal="center" vertical="center"/>
    </xf>
    <xf numFmtId="0" fontId="10" fillId="3" borderId="16" xfId="2" applyFont="1" applyBorder="1" applyAlignment="1">
      <alignment horizontal="center" vertical="center"/>
    </xf>
    <xf numFmtId="0" fontId="10" fillId="3" borderId="3" xfId="2" applyFont="1" applyBorder="1" applyAlignment="1">
      <alignment horizontal="center" vertical="center"/>
    </xf>
    <xf numFmtId="0" fontId="10" fillId="3" borderId="5" xfId="2" applyFont="1" applyBorder="1" applyAlignment="1">
      <alignment horizontal="center" vertical="center"/>
    </xf>
    <xf numFmtId="0" fontId="10" fillId="3" borderId="6" xfId="2" applyFont="1" applyBorder="1" applyAlignment="1">
      <alignment horizontal="center" vertical="center"/>
    </xf>
    <xf numFmtId="0" fontId="10" fillId="3" borderId="8" xfId="2" applyFont="1" applyBorder="1" applyAlignment="1">
      <alignment horizontal="center" vertical="center"/>
    </xf>
    <xf numFmtId="0" fontId="10" fillId="3" borderId="10" xfId="2" applyFont="1" applyBorder="1" applyAlignment="1">
      <alignment horizontal="center" vertical="center"/>
    </xf>
    <xf numFmtId="0" fontId="10" fillId="3" borderId="11" xfId="2" applyFont="1" applyBorder="1" applyAlignment="1">
      <alignment horizontal="center" vertical="center"/>
    </xf>
    <xf numFmtId="0" fontId="10" fillId="3" borderId="1" xfId="2" applyFont="1" applyAlignment="1">
      <alignment horizontal="center" vertical="center"/>
    </xf>
    <xf numFmtId="0" fontId="10" fillId="3" borderId="17" xfId="2" applyFont="1" applyBorder="1" applyAlignment="1">
      <alignment horizontal="center" vertical="center"/>
    </xf>
    <xf numFmtId="0" fontId="10" fillId="3" borderId="18" xfId="2" applyFont="1" applyBorder="1" applyAlignment="1">
      <alignment horizontal="center" vertical="center"/>
    </xf>
    <xf numFmtId="0" fontId="10" fillId="3" borderId="19" xfId="2" applyFont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176" fontId="1" fillId="5" borderId="5" xfId="4" applyNumberFormat="1" applyBorder="1" applyAlignment="1">
      <alignment horizontal="center" vertical="center"/>
    </xf>
    <xf numFmtId="176" fontId="1" fillId="5" borderId="6" xfId="4" applyNumberFormat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9" fillId="4" borderId="7" xfId="3" applyFont="1" applyBorder="1" applyAlignment="1">
      <alignment horizontal="center" vertical="center"/>
    </xf>
    <xf numFmtId="0" fontId="7" fillId="2" borderId="8" xfId="1" applyFont="1" applyFill="1" applyBorder="1" applyAlignment="1">
      <alignment horizontal="center" vertical="center"/>
    </xf>
    <xf numFmtId="0" fontId="7" fillId="2" borderId="10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6" fillId="0" borderId="12" xfId="1" applyBorder="1"/>
    <xf numFmtId="0" fontId="6" fillId="0" borderId="0" xfId="1"/>
    <xf numFmtId="0" fontId="2" fillId="0" borderId="2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강조색6" xfId="4" builtinId="50"/>
    <cellStyle name="계산" xfId="2" builtinId="22"/>
    <cellStyle name="메모" xfId="3" builtinId="10"/>
    <cellStyle name="표준" xfId="0" builtinId="0"/>
    <cellStyle name="표준 2" xfId="1" xr:uid="{CB34A6F7-D228-4C0B-A1AE-BEE65BEE9137}"/>
  </cellStyles>
  <dxfs count="7">
    <dxf>
      <font>
        <color rgb="FF002060"/>
      </font>
      <fill>
        <patternFill patternType="none"/>
      </fill>
    </dxf>
    <dxf>
      <font>
        <b/>
        <i val="0"/>
        <color rgb="FFC00000"/>
      </font>
      <fill>
        <patternFill patternType="none"/>
      </fill>
    </dxf>
    <dxf>
      <font>
        <b/>
        <i val="0"/>
        <strike val="0"/>
        <color theme="1"/>
      </font>
      <fill>
        <patternFill patternType="solid">
          <fgColor indexed="64"/>
          <bgColor rgb="FFFFCC00"/>
        </patternFill>
      </fill>
    </dxf>
    <dxf>
      <font>
        <color theme="1"/>
      </font>
      <fill>
        <patternFill patternType="solid">
          <bgColor rgb="FF60CA3A"/>
        </patternFill>
      </fill>
    </dxf>
    <dxf>
      <font>
        <b/>
        <i val="0"/>
        <color rgb="FFEE6C00"/>
      </font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colors>
    <mruColors>
      <color rgb="FFE9FECE"/>
      <color rgb="FFEE6C00"/>
      <color rgb="FF60CA3A"/>
      <color rgb="FF4C9D2B"/>
      <color rgb="FFFFCC00"/>
      <color rgb="FFFFFF99"/>
      <color rgb="FF9245E6"/>
      <color rgb="FF4558E6"/>
      <color rgb="FF45E6E1"/>
      <color rgb="FFE6884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4944-0881-4D95-B141-076F73D5A323}">
  <dimension ref="A1:AL39"/>
  <sheetViews>
    <sheetView tabSelected="1" zoomScale="85" zoomScaleNormal="85" workbookViewId="0">
      <selection activeCell="AT5" sqref="AT5"/>
    </sheetView>
  </sheetViews>
  <sheetFormatPr defaultRowHeight="17.399999999999999"/>
  <cols>
    <col min="1" max="1" width="7.59765625" customWidth="1"/>
    <col min="2" max="37" width="4.09765625" customWidth="1"/>
    <col min="38" max="38" width="8.296875" customWidth="1"/>
    <col min="39" max="39" width="8.796875" customWidth="1"/>
  </cols>
  <sheetData>
    <row r="1" spans="1:38" ht="17.399999999999999" customHeight="1">
      <c r="A1" s="34" t="s">
        <v>13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</row>
    <row r="2" spans="1:38" ht="29.55" customHeight="1" thickBot="1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spans="1:38" ht="34.049999999999997" customHeight="1" thickBot="1">
      <c r="A3" s="21" t="s">
        <v>18</v>
      </c>
      <c r="B3" s="22">
        <v>1</v>
      </c>
      <c r="C3" s="22">
        <v>2</v>
      </c>
      <c r="D3" s="22">
        <v>3</v>
      </c>
      <c r="E3" s="22">
        <v>4</v>
      </c>
      <c r="F3" s="22">
        <v>5</v>
      </c>
      <c r="G3" s="22">
        <v>6</v>
      </c>
      <c r="H3" s="22">
        <v>7</v>
      </c>
      <c r="I3" s="22">
        <v>8</v>
      </c>
      <c r="J3" s="22">
        <v>9</v>
      </c>
      <c r="K3" s="22">
        <v>10</v>
      </c>
      <c r="L3" s="22">
        <v>11</v>
      </c>
      <c r="M3" s="22">
        <v>12</v>
      </c>
      <c r="N3" s="22">
        <v>13</v>
      </c>
      <c r="O3" s="22">
        <v>14</v>
      </c>
      <c r="P3" s="22">
        <v>15</v>
      </c>
      <c r="Q3" s="22">
        <v>16</v>
      </c>
      <c r="R3" s="22">
        <v>17</v>
      </c>
      <c r="S3" s="22">
        <v>18</v>
      </c>
      <c r="T3" s="22">
        <v>19</v>
      </c>
      <c r="U3" s="22">
        <v>20</v>
      </c>
      <c r="V3" s="22">
        <v>21</v>
      </c>
      <c r="W3" s="22">
        <v>22</v>
      </c>
      <c r="X3" s="22">
        <v>23</v>
      </c>
      <c r="Y3" s="22">
        <v>24</v>
      </c>
      <c r="Z3" s="22">
        <v>25</v>
      </c>
      <c r="AA3" s="22">
        <v>26</v>
      </c>
      <c r="AB3" s="22">
        <v>27</v>
      </c>
      <c r="AC3" s="22">
        <v>28</v>
      </c>
      <c r="AD3" s="22">
        <v>29</v>
      </c>
      <c r="AE3" s="22">
        <v>30</v>
      </c>
      <c r="AF3" s="23">
        <v>31</v>
      </c>
    </row>
    <row r="4" spans="1:38" ht="24" customHeight="1">
      <c r="A4" s="24" t="s">
        <v>0</v>
      </c>
      <c r="B4" s="1" t="s">
        <v>14</v>
      </c>
      <c r="C4" s="1" t="s">
        <v>15</v>
      </c>
      <c r="D4" s="1" t="s">
        <v>16</v>
      </c>
      <c r="E4" s="1" t="s">
        <v>17</v>
      </c>
      <c r="F4" s="1" t="s">
        <v>10</v>
      </c>
      <c r="G4" s="1" t="s">
        <v>11</v>
      </c>
      <c r="H4" s="1" t="s">
        <v>12</v>
      </c>
      <c r="I4" s="1" t="s">
        <v>14</v>
      </c>
      <c r="J4" s="1" t="s">
        <v>15</v>
      </c>
      <c r="K4" s="1" t="s">
        <v>16</v>
      </c>
      <c r="L4" s="1" t="s">
        <v>17</v>
      </c>
      <c r="M4" s="1" t="s">
        <v>10</v>
      </c>
      <c r="N4" s="1" t="s">
        <v>11</v>
      </c>
      <c r="O4" s="1" t="s">
        <v>12</v>
      </c>
      <c r="P4" s="1" t="s">
        <v>14</v>
      </c>
      <c r="Q4" s="1" t="s">
        <v>15</v>
      </c>
      <c r="R4" s="1" t="s">
        <v>16</v>
      </c>
      <c r="S4" s="1" t="s">
        <v>17</v>
      </c>
      <c r="T4" s="1" t="s">
        <v>10</v>
      </c>
      <c r="U4" s="1" t="s">
        <v>11</v>
      </c>
      <c r="V4" s="1" t="s">
        <v>12</v>
      </c>
      <c r="W4" s="1" t="s">
        <v>14</v>
      </c>
      <c r="X4" s="1" t="s">
        <v>15</v>
      </c>
      <c r="Y4" s="1" t="s">
        <v>16</v>
      </c>
      <c r="Z4" s="1" t="s">
        <v>17</v>
      </c>
      <c r="AA4" s="1" t="s">
        <v>10</v>
      </c>
      <c r="AB4" s="1" t="s">
        <v>11</v>
      </c>
      <c r="AC4" s="1" t="s">
        <v>12</v>
      </c>
      <c r="AD4" s="1" t="s">
        <v>14</v>
      </c>
      <c r="AE4" s="1" t="s">
        <v>15</v>
      </c>
      <c r="AF4" s="25" t="s">
        <v>16</v>
      </c>
      <c r="AG4" s="18" t="s">
        <v>1</v>
      </c>
      <c r="AH4" s="7" t="s">
        <v>3</v>
      </c>
      <c r="AI4" s="7" t="s">
        <v>8</v>
      </c>
      <c r="AJ4" s="7" t="s">
        <v>4</v>
      </c>
      <c r="AK4" s="7" t="s">
        <v>2</v>
      </c>
      <c r="AL4" s="8" t="s">
        <v>5</v>
      </c>
    </row>
    <row r="5" spans="1:38" ht="30" customHeight="1">
      <c r="A5" s="26" t="s">
        <v>23</v>
      </c>
      <c r="B5" s="2" t="s">
        <v>9</v>
      </c>
      <c r="C5" s="2" t="s">
        <v>6</v>
      </c>
      <c r="D5" s="2" t="s">
        <v>7</v>
      </c>
      <c r="E5" s="2" t="s">
        <v>8</v>
      </c>
      <c r="F5" s="2" t="s">
        <v>9</v>
      </c>
      <c r="G5" s="2" t="s">
        <v>6</v>
      </c>
      <c r="H5" s="2" t="s">
        <v>7</v>
      </c>
      <c r="I5" s="2" t="s">
        <v>8</v>
      </c>
      <c r="J5" s="2" t="s">
        <v>9</v>
      </c>
      <c r="K5" s="3" t="s">
        <v>6</v>
      </c>
      <c r="L5" s="3" t="s">
        <v>6</v>
      </c>
      <c r="M5" s="2" t="s">
        <v>6</v>
      </c>
      <c r="N5" s="3" t="s">
        <v>7</v>
      </c>
      <c r="O5" s="3" t="s">
        <v>8</v>
      </c>
      <c r="P5" s="2" t="s">
        <v>9</v>
      </c>
      <c r="Q5" s="2" t="s">
        <v>7</v>
      </c>
      <c r="R5" s="2" t="s">
        <v>8</v>
      </c>
      <c r="S5" s="2" t="s">
        <v>9</v>
      </c>
      <c r="T5" s="2" t="s">
        <v>6</v>
      </c>
      <c r="U5" s="2" t="s">
        <v>7</v>
      </c>
      <c r="V5" s="2" t="s">
        <v>8</v>
      </c>
      <c r="W5" s="2" t="s">
        <v>9</v>
      </c>
      <c r="X5" s="2" t="s">
        <v>7</v>
      </c>
      <c r="Y5" s="2" t="s">
        <v>8</v>
      </c>
      <c r="Z5" s="3" t="s">
        <v>9</v>
      </c>
      <c r="AA5" s="3" t="s">
        <v>7</v>
      </c>
      <c r="AB5" s="2" t="s">
        <v>8</v>
      </c>
      <c r="AC5" s="2" t="s">
        <v>8</v>
      </c>
      <c r="AD5" s="3" t="s">
        <v>9</v>
      </c>
      <c r="AE5" s="3" t="s">
        <v>6</v>
      </c>
      <c r="AF5" s="27" t="s">
        <v>6</v>
      </c>
      <c r="AG5" s="19">
        <f t="shared" ref="AG5:AG24" si="0">COUNTIF(B5:AF5,"주")+COUNTIF(B5:AF5,"교")</f>
        <v>8</v>
      </c>
      <c r="AH5" s="17">
        <f t="shared" ref="AH5:AH24" si="1">COUNTIF(B5:AF5,"야")</f>
        <v>7</v>
      </c>
      <c r="AI5" s="17">
        <f>COUNTIF(C5:AG5,"비")</f>
        <v>8</v>
      </c>
      <c r="AJ5" s="17">
        <f t="shared" ref="AJ5:AJ24" si="2">COUNTIF(B5:AF5,"휴")</f>
        <v>8</v>
      </c>
      <c r="AK5" s="17">
        <f t="shared" ref="AK5:AK24" si="3">COUNTIF(B5:AF5,"연")</f>
        <v>0</v>
      </c>
      <c r="AL5" s="10">
        <f>(AG5+AH5+AI5+AK5)*8</f>
        <v>184</v>
      </c>
    </row>
    <row r="6" spans="1:38" ht="30" customHeight="1">
      <c r="A6" s="26" t="s">
        <v>24</v>
      </c>
      <c r="B6" s="2" t="s">
        <v>7</v>
      </c>
      <c r="C6" s="2" t="s">
        <v>8</v>
      </c>
      <c r="D6" s="2" t="s">
        <v>9</v>
      </c>
      <c r="E6" s="2" t="s">
        <v>7</v>
      </c>
      <c r="F6" s="2" t="s">
        <v>8</v>
      </c>
      <c r="G6" s="2" t="s">
        <v>9</v>
      </c>
      <c r="H6" s="2" t="s">
        <v>9</v>
      </c>
      <c r="I6" s="2" t="s">
        <v>6</v>
      </c>
      <c r="J6" s="2" t="s">
        <v>7</v>
      </c>
      <c r="K6" s="3" t="s">
        <v>8</v>
      </c>
      <c r="L6" s="3" t="s">
        <v>9</v>
      </c>
      <c r="M6" s="2" t="s">
        <v>6</v>
      </c>
      <c r="N6" s="3" t="s">
        <v>6</v>
      </c>
      <c r="O6" s="3" t="s">
        <v>7</v>
      </c>
      <c r="P6" s="2" t="s">
        <v>8</v>
      </c>
      <c r="Q6" s="2" t="s">
        <v>9</v>
      </c>
      <c r="R6" s="2" t="s">
        <v>6</v>
      </c>
      <c r="S6" s="2" t="s">
        <v>6</v>
      </c>
      <c r="T6" s="2" t="s">
        <v>7</v>
      </c>
      <c r="U6" s="2" t="s">
        <v>8</v>
      </c>
      <c r="V6" s="2" t="s">
        <v>9</v>
      </c>
      <c r="W6" s="2" t="s">
        <v>6</v>
      </c>
      <c r="X6" s="2" t="s">
        <v>6</v>
      </c>
      <c r="Y6" s="2" t="s">
        <v>7</v>
      </c>
      <c r="Z6" s="3" t="s">
        <v>8</v>
      </c>
      <c r="AA6" s="3" t="s">
        <v>9</v>
      </c>
      <c r="AB6" s="2" t="s">
        <v>6</v>
      </c>
      <c r="AC6" s="2" t="s">
        <v>7</v>
      </c>
      <c r="AD6" s="3" t="s">
        <v>8</v>
      </c>
      <c r="AE6" s="3" t="s">
        <v>8</v>
      </c>
      <c r="AF6" s="27" t="s">
        <v>9</v>
      </c>
      <c r="AG6" s="19">
        <f t="shared" si="0"/>
        <v>8</v>
      </c>
      <c r="AH6" s="17">
        <f t="shared" si="1"/>
        <v>7</v>
      </c>
      <c r="AI6" s="17">
        <f t="shared" ref="AI6:AI24" si="4">COUNTIF(C6:AG6,"비")</f>
        <v>8</v>
      </c>
      <c r="AJ6" s="17">
        <f t="shared" si="2"/>
        <v>8</v>
      </c>
      <c r="AK6" s="17">
        <f t="shared" si="3"/>
        <v>0</v>
      </c>
      <c r="AL6" s="10">
        <f t="shared" ref="AL6:AL24" si="5">(AG6+AH6+AI6+AK6)*8</f>
        <v>184</v>
      </c>
    </row>
    <row r="7" spans="1:38" ht="30" customHeight="1">
      <c r="A7" s="26" t="s">
        <v>25</v>
      </c>
      <c r="B7" s="2" t="s">
        <v>6</v>
      </c>
      <c r="C7" s="2" t="s">
        <v>6</v>
      </c>
      <c r="D7" s="2" t="s">
        <v>7</v>
      </c>
      <c r="E7" s="2" t="s">
        <v>8</v>
      </c>
      <c r="F7" s="2" t="s">
        <v>9</v>
      </c>
      <c r="G7" s="2" t="s">
        <v>7</v>
      </c>
      <c r="H7" s="2" t="s">
        <v>8</v>
      </c>
      <c r="I7" s="2" t="s">
        <v>9</v>
      </c>
      <c r="J7" s="2" t="s">
        <v>6</v>
      </c>
      <c r="K7" s="3" t="s">
        <v>7</v>
      </c>
      <c r="L7" s="3" t="s">
        <v>8</v>
      </c>
      <c r="M7" s="2" t="s">
        <v>9</v>
      </c>
      <c r="N7" s="3" t="s">
        <v>6</v>
      </c>
      <c r="O7" s="3" t="s">
        <v>7</v>
      </c>
      <c r="P7" s="2" t="s">
        <v>8</v>
      </c>
      <c r="Q7" s="2" t="s">
        <v>9</v>
      </c>
      <c r="R7" s="2" t="s">
        <v>7</v>
      </c>
      <c r="S7" s="2" t="s">
        <v>8</v>
      </c>
      <c r="T7" s="2" t="s">
        <v>9</v>
      </c>
      <c r="U7" s="2" t="s">
        <v>7</v>
      </c>
      <c r="V7" s="2" t="s">
        <v>8</v>
      </c>
      <c r="W7" s="2" t="s">
        <v>9</v>
      </c>
      <c r="X7" s="2" t="s">
        <v>9</v>
      </c>
      <c r="Y7" s="2" t="s">
        <v>6</v>
      </c>
      <c r="Z7" s="3" t="s">
        <v>7</v>
      </c>
      <c r="AA7" s="3" t="s">
        <v>8</v>
      </c>
      <c r="AB7" s="2" t="s">
        <v>9</v>
      </c>
      <c r="AC7" s="2" t="s">
        <v>6</v>
      </c>
      <c r="AD7" s="3" t="s">
        <v>7</v>
      </c>
      <c r="AE7" s="3" t="s">
        <v>7</v>
      </c>
      <c r="AF7" s="27" t="s">
        <v>8</v>
      </c>
      <c r="AG7" s="19">
        <f t="shared" si="0"/>
        <v>6</v>
      </c>
      <c r="AH7" s="17">
        <f t="shared" si="1"/>
        <v>9</v>
      </c>
      <c r="AI7" s="17">
        <f t="shared" si="4"/>
        <v>8</v>
      </c>
      <c r="AJ7" s="17">
        <f t="shared" si="2"/>
        <v>8</v>
      </c>
      <c r="AK7" s="17">
        <f t="shared" si="3"/>
        <v>0</v>
      </c>
      <c r="AL7" s="10">
        <f t="shared" si="5"/>
        <v>184</v>
      </c>
    </row>
    <row r="8" spans="1:38" ht="30" customHeight="1">
      <c r="A8" s="26" t="s">
        <v>23</v>
      </c>
      <c r="B8" s="2" t="s">
        <v>9</v>
      </c>
      <c r="C8" s="2" t="s">
        <v>7</v>
      </c>
      <c r="D8" s="2" t="s">
        <v>8</v>
      </c>
      <c r="E8" s="2" t="s">
        <v>9</v>
      </c>
      <c r="F8" s="2" t="s">
        <v>6</v>
      </c>
      <c r="G8" s="2" t="s">
        <v>6</v>
      </c>
      <c r="H8" s="2" t="s">
        <v>6</v>
      </c>
      <c r="I8" s="2" t="s">
        <v>7</v>
      </c>
      <c r="J8" s="2" t="s">
        <v>8</v>
      </c>
      <c r="K8" s="3" t="s">
        <v>9</v>
      </c>
      <c r="L8" s="3" t="s">
        <v>7</v>
      </c>
      <c r="M8" s="2" t="s">
        <v>8</v>
      </c>
      <c r="N8" s="3" t="s">
        <v>9</v>
      </c>
      <c r="O8" s="3" t="s">
        <v>6</v>
      </c>
      <c r="P8" s="2" t="s">
        <v>7</v>
      </c>
      <c r="Q8" s="2" t="s">
        <v>8</v>
      </c>
      <c r="R8" s="2" t="s">
        <v>9</v>
      </c>
      <c r="S8" s="2" t="s">
        <v>6</v>
      </c>
      <c r="T8" s="2" t="s">
        <v>7</v>
      </c>
      <c r="U8" s="2" t="s">
        <v>8</v>
      </c>
      <c r="V8" s="2" t="s">
        <v>9</v>
      </c>
      <c r="W8" s="2" t="s">
        <v>6</v>
      </c>
      <c r="X8" s="2" t="s">
        <v>7</v>
      </c>
      <c r="Y8" s="2" t="s">
        <v>8</v>
      </c>
      <c r="Z8" s="3" t="s">
        <v>9</v>
      </c>
      <c r="AA8" s="3" t="s">
        <v>7</v>
      </c>
      <c r="AB8" s="2" t="s">
        <v>8</v>
      </c>
      <c r="AC8" s="2" t="s">
        <v>8</v>
      </c>
      <c r="AD8" s="3" t="s">
        <v>9</v>
      </c>
      <c r="AE8" s="3" t="s">
        <v>7</v>
      </c>
      <c r="AF8" s="27" t="s">
        <v>8</v>
      </c>
      <c r="AG8" s="19">
        <f t="shared" si="0"/>
        <v>6</v>
      </c>
      <c r="AH8" s="17">
        <f t="shared" si="1"/>
        <v>8</v>
      </c>
      <c r="AI8" s="17">
        <f t="shared" si="4"/>
        <v>9</v>
      </c>
      <c r="AJ8" s="17">
        <f t="shared" si="2"/>
        <v>8</v>
      </c>
      <c r="AK8" s="17">
        <f t="shared" si="3"/>
        <v>0</v>
      </c>
      <c r="AL8" s="10">
        <f t="shared" si="5"/>
        <v>184</v>
      </c>
    </row>
    <row r="9" spans="1:38" ht="30" customHeight="1">
      <c r="A9" s="26" t="s">
        <v>24</v>
      </c>
      <c r="B9" s="2" t="s">
        <v>9</v>
      </c>
      <c r="C9" s="2" t="s">
        <v>9</v>
      </c>
      <c r="D9" s="2" t="s">
        <v>6</v>
      </c>
      <c r="E9" s="2" t="s">
        <v>6</v>
      </c>
      <c r="F9" s="2" t="s">
        <v>7</v>
      </c>
      <c r="G9" s="2" t="s">
        <v>8</v>
      </c>
      <c r="H9" s="2" t="s">
        <v>9</v>
      </c>
      <c r="I9" s="2" t="s">
        <v>6</v>
      </c>
      <c r="J9" s="2" t="s">
        <v>6</v>
      </c>
      <c r="K9" s="3" t="s">
        <v>6</v>
      </c>
      <c r="L9" s="3" t="s">
        <v>7</v>
      </c>
      <c r="M9" s="2" t="s">
        <v>8</v>
      </c>
      <c r="N9" s="3" t="s">
        <v>9</v>
      </c>
      <c r="O9" s="3" t="s">
        <v>6</v>
      </c>
      <c r="P9" s="2" t="s">
        <v>6</v>
      </c>
      <c r="Q9" s="2" t="s">
        <v>6</v>
      </c>
      <c r="R9" s="2" t="s">
        <v>9</v>
      </c>
      <c r="S9" s="2" t="s">
        <v>7</v>
      </c>
      <c r="T9" s="2" t="s">
        <v>8</v>
      </c>
      <c r="U9" s="2" t="s">
        <v>9</v>
      </c>
      <c r="V9" s="2" t="s">
        <v>7</v>
      </c>
      <c r="W9" s="2" t="s">
        <v>8</v>
      </c>
      <c r="X9" s="2" t="s">
        <v>9</v>
      </c>
      <c r="Y9" s="2" t="s">
        <v>7</v>
      </c>
      <c r="Z9" s="3" t="s">
        <v>8</v>
      </c>
      <c r="AA9" s="3" t="s">
        <v>9</v>
      </c>
      <c r="AB9" s="2" t="s">
        <v>7</v>
      </c>
      <c r="AC9" s="2" t="s">
        <v>7</v>
      </c>
      <c r="AD9" s="3" t="s">
        <v>8</v>
      </c>
      <c r="AE9" s="3" t="s">
        <v>9</v>
      </c>
      <c r="AF9" s="27" t="s">
        <v>7</v>
      </c>
      <c r="AG9" s="19">
        <f t="shared" si="0"/>
        <v>8</v>
      </c>
      <c r="AH9" s="17">
        <f t="shared" si="1"/>
        <v>8</v>
      </c>
      <c r="AI9" s="17">
        <f t="shared" si="4"/>
        <v>6</v>
      </c>
      <c r="AJ9" s="17">
        <f t="shared" si="2"/>
        <v>9</v>
      </c>
      <c r="AK9" s="17">
        <f t="shared" si="3"/>
        <v>0</v>
      </c>
      <c r="AL9" s="10">
        <f t="shared" si="5"/>
        <v>176</v>
      </c>
    </row>
    <row r="10" spans="1:38" ht="30" customHeight="1">
      <c r="A10" s="26" t="s">
        <v>25</v>
      </c>
      <c r="B10" s="2" t="s">
        <v>9</v>
      </c>
      <c r="C10" s="2" t="s">
        <v>7</v>
      </c>
      <c r="D10" s="2" t="s">
        <v>8</v>
      </c>
      <c r="E10" s="2" t="s">
        <v>9</v>
      </c>
      <c r="F10" s="2" t="s">
        <v>6</v>
      </c>
      <c r="G10" s="2" t="s">
        <v>7</v>
      </c>
      <c r="H10" s="2" t="s">
        <v>8</v>
      </c>
      <c r="I10" s="2" t="s">
        <v>9</v>
      </c>
      <c r="J10" s="2" t="s">
        <v>7</v>
      </c>
      <c r="K10" s="3" t="s">
        <v>8</v>
      </c>
      <c r="L10" s="3" t="s">
        <v>9</v>
      </c>
      <c r="M10" s="2" t="s">
        <v>7</v>
      </c>
      <c r="N10" s="3" t="s">
        <v>8</v>
      </c>
      <c r="O10" s="3" t="s">
        <v>9</v>
      </c>
      <c r="P10" s="2" t="s">
        <v>6</v>
      </c>
      <c r="Q10" s="2" t="s">
        <v>6</v>
      </c>
      <c r="R10" s="2" t="s">
        <v>7</v>
      </c>
      <c r="S10" s="2" t="s">
        <v>8</v>
      </c>
      <c r="T10" s="2" t="s">
        <v>9</v>
      </c>
      <c r="U10" s="2" t="s">
        <v>6</v>
      </c>
      <c r="V10" s="2" t="s">
        <v>7</v>
      </c>
      <c r="W10" s="2" t="s">
        <v>8</v>
      </c>
      <c r="X10" s="2" t="s">
        <v>9</v>
      </c>
      <c r="Y10" s="2" t="s">
        <v>6</v>
      </c>
      <c r="Z10" s="3" t="s">
        <v>7</v>
      </c>
      <c r="AA10" s="3" t="s">
        <v>8</v>
      </c>
      <c r="AB10" s="2" t="s">
        <v>9</v>
      </c>
      <c r="AC10" s="2" t="s">
        <v>6</v>
      </c>
      <c r="AD10" s="3" t="s">
        <v>7</v>
      </c>
      <c r="AE10" s="3" t="s">
        <v>6</v>
      </c>
      <c r="AF10" s="27" t="s">
        <v>6</v>
      </c>
      <c r="AG10" s="19">
        <f t="shared" si="0"/>
        <v>8</v>
      </c>
      <c r="AH10" s="17">
        <f t="shared" si="1"/>
        <v>8</v>
      </c>
      <c r="AI10" s="17">
        <f t="shared" si="4"/>
        <v>7</v>
      </c>
      <c r="AJ10" s="17">
        <f t="shared" si="2"/>
        <v>8</v>
      </c>
      <c r="AK10" s="17">
        <f t="shared" si="3"/>
        <v>0</v>
      </c>
      <c r="AL10" s="10">
        <f t="shared" si="5"/>
        <v>184</v>
      </c>
    </row>
    <row r="11" spans="1:38" ht="30" customHeight="1">
      <c r="A11" s="26" t="s">
        <v>23</v>
      </c>
      <c r="B11" s="2" t="s">
        <v>9</v>
      </c>
      <c r="C11" s="2" t="s">
        <v>7</v>
      </c>
      <c r="D11" s="2" t="s">
        <v>8</v>
      </c>
      <c r="E11" s="2" t="s">
        <v>9</v>
      </c>
      <c r="F11" s="2" t="s">
        <v>6</v>
      </c>
      <c r="G11" s="2" t="s">
        <v>6</v>
      </c>
      <c r="H11" s="2" t="s">
        <v>6</v>
      </c>
      <c r="I11" s="2" t="s">
        <v>7</v>
      </c>
      <c r="J11" s="2" t="s">
        <v>8</v>
      </c>
      <c r="K11" s="3" t="s">
        <v>9</v>
      </c>
      <c r="L11" s="3" t="s">
        <v>7</v>
      </c>
      <c r="M11" s="2" t="s">
        <v>8</v>
      </c>
      <c r="N11" s="3" t="s">
        <v>9</v>
      </c>
      <c r="O11" s="3" t="s">
        <v>6</v>
      </c>
      <c r="P11" s="2" t="s">
        <v>7</v>
      </c>
      <c r="Q11" s="2" t="s">
        <v>8</v>
      </c>
      <c r="R11" s="2" t="s">
        <v>9</v>
      </c>
      <c r="S11" s="2" t="s">
        <v>6</v>
      </c>
      <c r="T11" s="2" t="s">
        <v>7</v>
      </c>
      <c r="U11" s="2" t="s">
        <v>8</v>
      </c>
      <c r="V11" s="2" t="s">
        <v>9</v>
      </c>
      <c r="W11" s="2" t="s">
        <v>6</v>
      </c>
      <c r="X11" s="2" t="s">
        <v>7</v>
      </c>
      <c r="Y11" s="2" t="s">
        <v>8</v>
      </c>
      <c r="Z11" s="3" t="s">
        <v>9</v>
      </c>
      <c r="AA11" s="3" t="s">
        <v>7</v>
      </c>
      <c r="AB11" s="2" t="s">
        <v>8</v>
      </c>
      <c r="AC11" s="2" t="s">
        <v>8</v>
      </c>
      <c r="AD11" s="3" t="s">
        <v>9</v>
      </c>
      <c r="AE11" s="3" t="s">
        <v>7</v>
      </c>
      <c r="AF11" s="27" t="s">
        <v>8</v>
      </c>
      <c r="AG11" s="19">
        <f t="shared" ref="AG11:AG22" si="6">COUNTIF(B11:AF11,"주")+COUNTIF(B11:AF11,"교")</f>
        <v>6</v>
      </c>
      <c r="AH11" s="17">
        <f t="shared" ref="AH11:AH22" si="7">COUNTIF(B11:AF11,"야")</f>
        <v>8</v>
      </c>
      <c r="AI11" s="17">
        <f t="shared" ref="AI11:AI22" si="8">COUNTIF(C11:AG11,"비")</f>
        <v>9</v>
      </c>
      <c r="AJ11" s="17">
        <f t="shared" ref="AJ11:AJ22" si="9">COUNTIF(B11:AF11,"휴")</f>
        <v>8</v>
      </c>
      <c r="AK11" s="17">
        <f t="shared" ref="AK11:AK22" si="10">COUNTIF(B11:AF11,"연")</f>
        <v>0</v>
      </c>
      <c r="AL11" s="10">
        <f t="shared" ref="AL11:AL22" si="11">(AG11+AH11+AI11+AK11)*8</f>
        <v>184</v>
      </c>
    </row>
    <row r="12" spans="1:38" ht="30" customHeight="1">
      <c r="A12" s="26" t="s">
        <v>24</v>
      </c>
      <c r="B12" s="2" t="s">
        <v>9</v>
      </c>
      <c r="C12" s="2" t="s">
        <v>9</v>
      </c>
      <c r="D12" s="2" t="s">
        <v>6</v>
      </c>
      <c r="E12" s="2" t="s">
        <v>6</v>
      </c>
      <c r="F12" s="2" t="s">
        <v>7</v>
      </c>
      <c r="G12" s="2" t="s">
        <v>8</v>
      </c>
      <c r="H12" s="2" t="s">
        <v>9</v>
      </c>
      <c r="I12" s="2" t="s">
        <v>6</v>
      </c>
      <c r="J12" s="2" t="s">
        <v>6</v>
      </c>
      <c r="K12" s="3" t="s">
        <v>6</v>
      </c>
      <c r="L12" s="3" t="s">
        <v>7</v>
      </c>
      <c r="M12" s="2" t="s">
        <v>8</v>
      </c>
      <c r="N12" s="3" t="s">
        <v>9</v>
      </c>
      <c r="O12" s="3" t="s">
        <v>6</v>
      </c>
      <c r="P12" s="2" t="s">
        <v>6</v>
      </c>
      <c r="Q12" s="2" t="s">
        <v>6</v>
      </c>
      <c r="R12" s="2" t="s">
        <v>9</v>
      </c>
      <c r="S12" s="2" t="s">
        <v>7</v>
      </c>
      <c r="T12" s="2" t="s">
        <v>8</v>
      </c>
      <c r="U12" s="2" t="s">
        <v>9</v>
      </c>
      <c r="V12" s="2" t="s">
        <v>7</v>
      </c>
      <c r="W12" s="2" t="s">
        <v>8</v>
      </c>
      <c r="X12" s="2" t="s">
        <v>9</v>
      </c>
      <c r="Y12" s="2" t="s">
        <v>7</v>
      </c>
      <c r="Z12" s="3" t="s">
        <v>8</v>
      </c>
      <c r="AA12" s="3" t="s">
        <v>9</v>
      </c>
      <c r="AB12" s="2" t="s">
        <v>7</v>
      </c>
      <c r="AC12" s="2" t="s">
        <v>7</v>
      </c>
      <c r="AD12" s="3" t="s">
        <v>8</v>
      </c>
      <c r="AE12" s="3" t="s">
        <v>9</v>
      </c>
      <c r="AF12" s="27" t="s">
        <v>7</v>
      </c>
      <c r="AG12" s="19">
        <f t="shared" si="6"/>
        <v>8</v>
      </c>
      <c r="AH12" s="17">
        <f t="shared" si="7"/>
        <v>8</v>
      </c>
      <c r="AI12" s="17">
        <f t="shared" si="8"/>
        <v>6</v>
      </c>
      <c r="AJ12" s="17">
        <f t="shared" si="9"/>
        <v>9</v>
      </c>
      <c r="AK12" s="17">
        <f t="shared" si="10"/>
        <v>0</v>
      </c>
      <c r="AL12" s="10">
        <f t="shared" si="11"/>
        <v>176</v>
      </c>
    </row>
    <row r="13" spans="1:38" ht="30" customHeight="1">
      <c r="A13" s="26" t="s">
        <v>25</v>
      </c>
      <c r="B13" s="2" t="s">
        <v>9</v>
      </c>
      <c r="C13" s="2" t="s">
        <v>7</v>
      </c>
      <c r="D13" s="2" t="s">
        <v>8</v>
      </c>
      <c r="E13" s="2" t="s">
        <v>9</v>
      </c>
      <c r="F13" s="2" t="s">
        <v>6</v>
      </c>
      <c r="G13" s="2" t="s">
        <v>7</v>
      </c>
      <c r="H13" s="2" t="s">
        <v>8</v>
      </c>
      <c r="I13" s="2" t="s">
        <v>9</v>
      </c>
      <c r="J13" s="2" t="s">
        <v>7</v>
      </c>
      <c r="K13" s="3" t="s">
        <v>8</v>
      </c>
      <c r="L13" s="3" t="s">
        <v>9</v>
      </c>
      <c r="M13" s="2" t="s">
        <v>7</v>
      </c>
      <c r="N13" s="3" t="s">
        <v>8</v>
      </c>
      <c r="O13" s="3" t="s">
        <v>9</v>
      </c>
      <c r="P13" s="2" t="s">
        <v>6</v>
      </c>
      <c r="Q13" s="2" t="s">
        <v>6</v>
      </c>
      <c r="R13" s="2" t="s">
        <v>7</v>
      </c>
      <c r="S13" s="2" t="s">
        <v>8</v>
      </c>
      <c r="T13" s="2" t="s">
        <v>9</v>
      </c>
      <c r="U13" s="2" t="s">
        <v>6</v>
      </c>
      <c r="V13" s="2" t="s">
        <v>7</v>
      </c>
      <c r="W13" s="2" t="s">
        <v>8</v>
      </c>
      <c r="X13" s="2" t="s">
        <v>9</v>
      </c>
      <c r="Y13" s="2" t="s">
        <v>6</v>
      </c>
      <c r="Z13" s="3" t="s">
        <v>7</v>
      </c>
      <c r="AA13" s="3" t="s">
        <v>8</v>
      </c>
      <c r="AB13" s="2" t="s">
        <v>9</v>
      </c>
      <c r="AC13" s="2" t="s">
        <v>6</v>
      </c>
      <c r="AD13" s="3" t="s">
        <v>7</v>
      </c>
      <c r="AE13" s="3" t="s">
        <v>6</v>
      </c>
      <c r="AF13" s="27" t="s">
        <v>6</v>
      </c>
      <c r="AG13" s="19">
        <f t="shared" si="6"/>
        <v>8</v>
      </c>
      <c r="AH13" s="17">
        <f t="shared" si="7"/>
        <v>8</v>
      </c>
      <c r="AI13" s="17">
        <f t="shared" si="8"/>
        <v>7</v>
      </c>
      <c r="AJ13" s="17">
        <f t="shared" si="9"/>
        <v>8</v>
      </c>
      <c r="AK13" s="17">
        <f t="shared" si="10"/>
        <v>0</v>
      </c>
      <c r="AL13" s="10">
        <f t="shared" si="11"/>
        <v>184</v>
      </c>
    </row>
    <row r="14" spans="1:38" ht="30" customHeight="1">
      <c r="A14" s="26" t="s">
        <v>23</v>
      </c>
      <c r="B14" s="2" t="s">
        <v>9</v>
      </c>
      <c r="C14" s="2" t="s">
        <v>7</v>
      </c>
      <c r="D14" s="2" t="s">
        <v>8</v>
      </c>
      <c r="E14" s="2" t="s">
        <v>9</v>
      </c>
      <c r="F14" s="2" t="s">
        <v>6</v>
      </c>
      <c r="G14" s="2" t="s">
        <v>6</v>
      </c>
      <c r="H14" s="2" t="s">
        <v>6</v>
      </c>
      <c r="I14" s="2" t="s">
        <v>7</v>
      </c>
      <c r="J14" s="2" t="s">
        <v>8</v>
      </c>
      <c r="K14" s="3" t="s">
        <v>9</v>
      </c>
      <c r="L14" s="3" t="s">
        <v>7</v>
      </c>
      <c r="M14" s="2" t="s">
        <v>8</v>
      </c>
      <c r="N14" s="3" t="s">
        <v>9</v>
      </c>
      <c r="O14" s="3" t="s">
        <v>6</v>
      </c>
      <c r="P14" s="2" t="s">
        <v>7</v>
      </c>
      <c r="Q14" s="2" t="s">
        <v>8</v>
      </c>
      <c r="R14" s="2" t="s">
        <v>9</v>
      </c>
      <c r="S14" s="2" t="s">
        <v>6</v>
      </c>
      <c r="T14" s="2" t="s">
        <v>7</v>
      </c>
      <c r="U14" s="2" t="s">
        <v>8</v>
      </c>
      <c r="V14" s="2" t="s">
        <v>9</v>
      </c>
      <c r="W14" s="2" t="s">
        <v>6</v>
      </c>
      <c r="X14" s="2" t="s">
        <v>7</v>
      </c>
      <c r="Y14" s="2" t="s">
        <v>8</v>
      </c>
      <c r="Z14" s="3" t="s">
        <v>9</v>
      </c>
      <c r="AA14" s="3" t="s">
        <v>7</v>
      </c>
      <c r="AB14" s="2" t="s">
        <v>8</v>
      </c>
      <c r="AC14" s="2" t="s">
        <v>8</v>
      </c>
      <c r="AD14" s="3" t="s">
        <v>9</v>
      </c>
      <c r="AE14" s="3" t="s">
        <v>7</v>
      </c>
      <c r="AF14" s="27" t="s">
        <v>8</v>
      </c>
      <c r="AG14" s="19">
        <f t="shared" si="6"/>
        <v>6</v>
      </c>
      <c r="AH14" s="17">
        <f t="shared" si="7"/>
        <v>8</v>
      </c>
      <c r="AI14" s="17">
        <f t="shared" si="8"/>
        <v>9</v>
      </c>
      <c r="AJ14" s="17">
        <f t="shared" si="9"/>
        <v>8</v>
      </c>
      <c r="AK14" s="17">
        <f t="shared" si="10"/>
        <v>0</v>
      </c>
      <c r="AL14" s="10">
        <f t="shared" si="11"/>
        <v>184</v>
      </c>
    </row>
    <row r="15" spans="1:38" ht="30" customHeight="1">
      <c r="A15" s="26" t="s">
        <v>24</v>
      </c>
      <c r="B15" s="2" t="s">
        <v>9</v>
      </c>
      <c r="C15" s="2" t="s">
        <v>9</v>
      </c>
      <c r="D15" s="2" t="s">
        <v>6</v>
      </c>
      <c r="E15" s="2" t="s">
        <v>6</v>
      </c>
      <c r="F15" s="2" t="s">
        <v>7</v>
      </c>
      <c r="G15" s="2" t="s">
        <v>8</v>
      </c>
      <c r="H15" s="2" t="s">
        <v>9</v>
      </c>
      <c r="I15" s="2" t="s">
        <v>6</v>
      </c>
      <c r="J15" s="2" t="s">
        <v>6</v>
      </c>
      <c r="K15" s="3" t="s">
        <v>6</v>
      </c>
      <c r="L15" s="3" t="s">
        <v>7</v>
      </c>
      <c r="M15" s="2" t="s">
        <v>8</v>
      </c>
      <c r="N15" s="3" t="s">
        <v>9</v>
      </c>
      <c r="O15" s="3" t="s">
        <v>6</v>
      </c>
      <c r="P15" s="2" t="s">
        <v>6</v>
      </c>
      <c r="Q15" s="2" t="s">
        <v>6</v>
      </c>
      <c r="R15" s="2" t="s">
        <v>9</v>
      </c>
      <c r="S15" s="2" t="s">
        <v>7</v>
      </c>
      <c r="T15" s="2" t="s">
        <v>8</v>
      </c>
      <c r="U15" s="2" t="s">
        <v>9</v>
      </c>
      <c r="V15" s="2" t="s">
        <v>7</v>
      </c>
      <c r="W15" s="2" t="s">
        <v>8</v>
      </c>
      <c r="X15" s="2" t="s">
        <v>9</v>
      </c>
      <c r="Y15" s="2" t="s">
        <v>7</v>
      </c>
      <c r="Z15" s="3" t="s">
        <v>8</v>
      </c>
      <c r="AA15" s="3" t="s">
        <v>9</v>
      </c>
      <c r="AB15" s="2" t="s">
        <v>7</v>
      </c>
      <c r="AC15" s="2" t="s">
        <v>7</v>
      </c>
      <c r="AD15" s="3" t="s">
        <v>8</v>
      </c>
      <c r="AE15" s="3" t="s">
        <v>9</v>
      </c>
      <c r="AF15" s="27" t="s">
        <v>7</v>
      </c>
      <c r="AG15" s="19">
        <f t="shared" si="6"/>
        <v>8</v>
      </c>
      <c r="AH15" s="17">
        <f t="shared" si="7"/>
        <v>8</v>
      </c>
      <c r="AI15" s="17">
        <f t="shared" si="8"/>
        <v>6</v>
      </c>
      <c r="AJ15" s="17">
        <f t="shared" si="9"/>
        <v>9</v>
      </c>
      <c r="AK15" s="17">
        <f t="shared" si="10"/>
        <v>0</v>
      </c>
      <c r="AL15" s="10">
        <f t="shared" si="11"/>
        <v>176</v>
      </c>
    </row>
    <row r="16" spans="1:38" ht="30" customHeight="1">
      <c r="A16" s="26" t="s">
        <v>25</v>
      </c>
      <c r="B16" s="2" t="s">
        <v>9</v>
      </c>
      <c r="C16" s="2" t="s">
        <v>7</v>
      </c>
      <c r="D16" s="2" t="s">
        <v>8</v>
      </c>
      <c r="E16" s="2" t="s">
        <v>9</v>
      </c>
      <c r="F16" s="2" t="s">
        <v>6</v>
      </c>
      <c r="G16" s="2" t="s">
        <v>7</v>
      </c>
      <c r="H16" s="2" t="s">
        <v>8</v>
      </c>
      <c r="I16" s="2" t="s">
        <v>9</v>
      </c>
      <c r="J16" s="2" t="s">
        <v>7</v>
      </c>
      <c r="K16" s="3" t="s">
        <v>8</v>
      </c>
      <c r="L16" s="3" t="s">
        <v>9</v>
      </c>
      <c r="M16" s="2" t="s">
        <v>7</v>
      </c>
      <c r="N16" s="3" t="s">
        <v>8</v>
      </c>
      <c r="O16" s="3" t="s">
        <v>9</v>
      </c>
      <c r="P16" s="2" t="s">
        <v>6</v>
      </c>
      <c r="Q16" s="2" t="s">
        <v>6</v>
      </c>
      <c r="R16" s="2" t="s">
        <v>7</v>
      </c>
      <c r="S16" s="2" t="s">
        <v>8</v>
      </c>
      <c r="T16" s="2" t="s">
        <v>9</v>
      </c>
      <c r="U16" s="2" t="s">
        <v>6</v>
      </c>
      <c r="V16" s="2" t="s">
        <v>7</v>
      </c>
      <c r="W16" s="2" t="s">
        <v>8</v>
      </c>
      <c r="X16" s="2" t="s">
        <v>9</v>
      </c>
      <c r="Y16" s="2" t="s">
        <v>6</v>
      </c>
      <c r="Z16" s="3" t="s">
        <v>7</v>
      </c>
      <c r="AA16" s="3" t="s">
        <v>8</v>
      </c>
      <c r="AB16" s="2" t="s">
        <v>9</v>
      </c>
      <c r="AC16" s="2" t="s">
        <v>6</v>
      </c>
      <c r="AD16" s="3" t="s">
        <v>7</v>
      </c>
      <c r="AE16" s="3" t="s">
        <v>6</v>
      </c>
      <c r="AF16" s="27" t="s">
        <v>6</v>
      </c>
      <c r="AG16" s="19">
        <f t="shared" si="6"/>
        <v>8</v>
      </c>
      <c r="AH16" s="17">
        <f t="shared" si="7"/>
        <v>8</v>
      </c>
      <c r="AI16" s="17">
        <f t="shared" si="8"/>
        <v>7</v>
      </c>
      <c r="AJ16" s="17">
        <f t="shared" si="9"/>
        <v>8</v>
      </c>
      <c r="AK16" s="17">
        <f t="shared" si="10"/>
        <v>0</v>
      </c>
      <c r="AL16" s="10">
        <f t="shared" si="11"/>
        <v>184</v>
      </c>
    </row>
    <row r="17" spans="1:38" ht="30" customHeight="1">
      <c r="A17" s="26" t="s">
        <v>23</v>
      </c>
      <c r="B17" s="2" t="s">
        <v>9</v>
      </c>
      <c r="C17" s="2" t="s">
        <v>7</v>
      </c>
      <c r="D17" s="2" t="s">
        <v>8</v>
      </c>
      <c r="E17" s="2" t="s">
        <v>9</v>
      </c>
      <c r="F17" s="2" t="s">
        <v>6</v>
      </c>
      <c r="G17" s="2" t="s">
        <v>6</v>
      </c>
      <c r="H17" s="2" t="s">
        <v>6</v>
      </c>
      <c r="I17" s="2" t="s">
        <v>7</v>
      </c>
      <c r="J17" s="2" t="s">
        <v>8</v>
      </c>
      <c r="K17" s="3" t="s">
        <v>9</v>
      </c>
      <c r="L17" s="3" t="s">
        <v>7</v>
      </c>
      <c r="M17" s="2" t="s">
        <v>8</v>
      </c>
      <c r="N17" s="3" t="s">
        <v>9</v>
      </c>
      <c r="O17" s="3" t="s">
        <v>6</v>
      </c>
      <c r="P17" s="2" t="s">
        <v>7</v>
      </c>
      <c r="Q17" s="2" t="s">
        <v>8</v>
      </c>
      <c r="R17" s="2" t="s">
        <v>9</v>
      </c>
      <c r="S17" s="2" t="s">
        <v>6</v>
      </c>
      <c r="T17" s="2" t="s">
        <v>7</v>
      </c>
      <c r="U17" s="2" t="s">
        <v>8</v>
      </c>
      <c r="V17" s="2" t="s">
        <v>9</v>
      </c>
      <c r="W17" s="2" t="s">
        <v>6</v>
      </c>
      <c r="X17" s="2" t="s">
        <v>7</v>
      </c>
      <c r="Y17" s="2" t="s">
        <v>8</v>
      </c>
      <c r="Z17" s="3" t="s">
        <v>9</v>
      </c>
      <c r="AA17" s="3" t="s">
        <v>7</v>
      </c>
      <c r="AB17" s="2" t="s">
        <v>8</v>
      </c>
      <c r="AC17" s="2" t="s">
        <v>8</v>
      </c>
      <c r="AD17" s="3" t="s">
        <v>9</v>
      </c>
      <c r="AE17" s="3" t="s">
        <v>7</v>
      </c>
      <c r="AF17" s="27" t="s">
        <v>8</v>
      </c>
      <c r="AG17" s="19">
        <f t="shared" si="6"/>
        <v>6</v>
      </c>
      <c r="AH17" s="17">
        <f t="shared" si="7"/>
        <v>8</v>
      </c>
      <c r="AI17" s="17">
        <f t="shared" si="8"/>
        <v>9</v>
      </c>
      <c r="AJ17" s="17">
        <f t="shared" si="9"/>
        <v>8</v>
      </c>
      <c r="AK17" s="17">
        <f t="shared" si="10"/>
        <v>0</v>
      </c>
      <c r="AL17" s="10">
        <f t="shared" si="11"/>
        <v>184</v>
      </c>
    </row>
    <row r="18" spans="1:38" ht="30" customHeight="1">
      <c r="A18" s="26" t="s">
        <v>24</v>
      </c>
      <c r="B18" s="2" t="s">
        <v>26</v>
      </c>
      <c r="C18" s="2" t="s">
        <v>26</v>
      </c>
      <c r="D18" s="2" t="s">
        <v>27</v>
      </c>
      <c r="E18" s="2" t="s">
        <v>28</v>
      </c>
      <c r="F18" s="2" t="s">
        <v>7</v>
      </c>
      <c r="G18" s="2" t="s">
        <v>8</v>
      </c>
      <c r="H18" s="2" t="s">
        <v>9</v>
      </c>
      <c r="I18" s="2" t="s">
        <v>6</v>
      </c>
      <c r="J18" s="2" t="s">
        <v>6</v>
      </c>
      <c r="K18" s="3" t="s">
        <v>6</v>
      </c>
      <c r="L18" s="3" t="s">
        <v>7</v>
      </c>
      <c r="M18" s="2" t="s">
        <v>8</v>
      </c>
      <c r="N18" s="3" t="s">
        <v>9</v>
      </c>
      <c r="O18" s="3" t="s">
        <v>6</v>
      </c>
      <c r="P18" s="2" t="s">
        <v>6</v>
      </c>
      <c r="Q18" s="2" t="s">
        <v>6</v>
      </c>
      <c r="R18" s="2" t="s">
        <v>9</v>
      </c>
      <c r="S18" s="2" t="s">
        <v>7</v>
      </c>
      <c r="T18" s="2" t="s">
        <v>8</v>
      </c>
      <c r="U18" s="2" t="s">
        <v>9</v>
      </c>
      <c r="V18" s="2" t="s">
        <v>7</v>
      </c>
      <c r="W18" s="2" t="s">
        <v>8</v>
      </c>
      <c r="X18" s="2" t="s">
        <v>9</v>
      </c>
      <c r="Y18" s="2" t="s">
        <v>7</v>
      </c>
      <c r="Z18" s="3" t="s">
        <v>8</v>
      </c>
      <c r="AA18" s="3" t="s">
        <v>9</v>
      </c>
      <c r="AB18" s="2" t="s">
        <v>7</v>
      </c>
      <c r="AC18" s="2" t="s">
        <v>7</v>
      </c>
      <c r="AD18" s="3" t="s">
        <v>8</v>
      </c>
      <c r="AE18" s="3" t="s">
        <v>9</v>
      </c>
      <c r="AF18" s="27" t="s">
        <v>7</v>
      </c>
      <c r="AG18" s="19">
        <f t="shared" si="6"/>
        <v>7</v>
      </c>
      <c r="AH18" s="17">
        <f t="shared" si="7"/>
        <v>8</v>
      </c>
      <c r="AI18" s="17">
        <f t="shared" si="8"/>
        <v>6</v>
      </c>
      <c r="AJ18" s="17">
        <f t="shared" si="9"/>
        <v>7</v>
      </c>
      <c r="AK18" s="17">
        <f t="shared" si="10"/>
        <v>1</v>
      </c>
      <c r="AL18" s="10">
        <f t="shared" si="11"/>
        <v>176</v>
      </c>
    </row>
    <row r="19" spans="1:38" ht="30" customHeight="1">
      <c r="A19" s="26" t="s">
        <v>25</v>
      </c>
      <c r="B19" s="2" t="s">
        <v>9</v>
      </c>
      <c r="C19" s="2" t="s">
        <v>7</v>
      </c>
      <c r="D19" s="2" t="s">
        <v>8</v>
      </c>
      <c r="E19" s="2" t="s">
        <v>9</v>
      </c>
      <c r="F19" s="2" t="s">
        <v>6</v>
      </c>
      <c r="G19" s="2" t="s">
        <v>7</v>
      </c>
      <c r="H19" s="2" t="s">
        <v>8</v>
      </c>
      <c r="I19" s="2" t="s">
        <v>9</v>
      </c>
      <c r="J19" s="2" t="s">
        <v>7</v>
      </c>
      <c r="K19" s="3" t="s">
        <v>8</v>
      </c>
      <c r="L19" s="3" t="s">
        <v>9</v>
      </c>
      <c r="M19" s="2" t="s">
        <v>7</v>
      </c>
      <c r="N19" s="3" t="s">
        <v>8</v>
      </c>
      <c r="O19" s="3" t="s">
        <v>9</v>
      </c>
      <c r="P19" s="2" t="s">
        <v>6</v>
      </c>
      <c r="Q19" s="2" t="s">
        <v>6</v>
      </c>
      <c r="R19" s="2" t="s">
        <v>7</v>
      </c>
      <c r="S19" s="2" t="s">
        <v>8</v>
      </c>
      <c r="T19" s="2" t="s">
        <v>9</v>
      </c>
      <c r="U19" s="2" t="s">
        <v>6</v>
      </c>
      <c r="V19" s="2" t="s">
        <v>7</v>
      </c>
      <c r="W19" s="2" t="s">
        <v>8</v>
      </c>
      <c r="X19" s="2" t="s">
        <v>9</v>
      </c>
      <c r="Y19" s="2" t="s">
        <v>6</v>
      </c>
      <c r="Z19" s="3" t="s">
        <v>7</v>
      </c>
      <c r="AA19" s="3" t="s">
        <v>8</v>
      </c>
      <c r="AB19" s="2" t="s">
        <v>9</v>
      </c>
      <c r="AC19" s="2" t="s">
        <v>6</v>
      </c>
      <c r="AD19" s="3" t="s">
        <v>7</v>
      </c>
      <c r="AE19" s="3" t="s">
        <v>6</v>
      </c>
      <c r="AF19" s="27" t="s">
        <v>6</v>
      </c>
      <c r="AG19" s="19">
        <f t="shared" si="6"/>
        <v>8</v>
      </c>
      <c r="AH19" s="17">
        <f t="shared" si="7"/>
        <v>8</v>
      </c>
      <c r="AI19" s="17">
        <f t="shared" si="8"/>
        <v>7</v>
      </c>
      <c r="AJ19" s="17">
        <f t="shared" si="9"/>
        <v>8</v>
      </c>
      <c r="AK19" s="17">
        <f t="shared" si="10"/>
        <v>0</v>
      </c>
      <c r="AL19" s="10">
        <f t="shared" si="11"/>
        <v>184</v>
      </c>
    </row>
    <row r="20" spans="1:38" ht="30" customHeight="1">
      <c r="A20" s="26" t="s">
        <v>23</v>
      </c>
      <c r="B20" s="2" t="s">
        <v>9</v>
      </c>
      <c r="C20" s="2" t="s">
        <v>7</v>
      </c>
      <c r="D20" s="2" t="s">
        <v>8</v>
      </c>
      <c r="E20" s="2" t="s">
        <v>9</v>
      </c>
      <c r="F20" s="2" t="s">
        <v>6</v>
      </c>
      <c r="G20" s="2" t="s">
        <v>6</v>
      </c>
      <c r="H20" s="2" t="s">
        <v>6</v>
      </c>
      <c r="I20" s="2" t="s">
        <v>7</v>
      </c>
      <c r="J20" s="2" t="s">
        <v>8</v>
      </c>
      <c r="K20" s="3" t="s">
        <v>9</v>
      </c>
      <c r="L20" s="3" t="s">
        <v>7</v>
      </c>
      <c r="M20" s="2" t="s">
        <v>8</v>
      </c>
      <c r="N20" s="3" t="s">
        <v>9</v>
      </c>
      <c r="O20" s="3" t="s">
        <v>6</v>
      </c>
      <c r="P20" s="2" t="s">
        <v>7</v>
      </c>
      <c r="Q20" s="2" t="s">
        <v>8</v>
      </c>
      <c r="R20" s="2" t="s">
        <v>9</v>
      </c>
      <c r="S20" s="2" t="s">
        <v>6</v>
      </c>
      <c r="T20" s="2" t="s">
        <v>7</v>
      </c>
      <c r="U20" s="2" t="s">
        <v>8</v>
      </c>
      <c r="V20" s="2" t="s">
        <v>9</v>
      </c>
      <c r="W20" s="2" t="s">
        <v>6</v>
      </c>
      <c r="X20" s="2" t="s">
        <v>7</v>
      </c>
      <c r="Y20" s="2" t="s">
        <v>8</v>
      </c>
      <c r="Z20" s="3" t="s">
        <v>9</v>
      </c>
      <c r="AA20" s="3" t="s">
        <v>7</v>
      </c>
      <c r="AB20" s="2" t="s">
        <v>8</v>
      </c>
      <c r="AC20" s="2" t="s">
        <v>8</v>
      </c>
      <c r="AD20" s="3" t="s">
        <v>9</v>
      </c>
      <c r="AE20" s="3" t="s">
        <v>7</v>
      </c>
      <c r="AF20" s="27" t="s">
        <v>8</v>
      </c>
      <c r="AG20" s="19">
        <f t="shared" si="6"/>
        <v>6</v>
      </c>
      <c r="AH20" s="17">
        <f t="shared" si="7"/>
        <v>8</v>
      </c>
      <c r="AI20" s="17">
        <f t="shared" si="8"/>
        <v>9</v>
      </c>
      <c r="AJ20" s="17">
        <f t="shared" si="9"/>
        <v>8</v>
      </c>
      <c r="AK20" s="17">
        <f t="shared" si="10"/>
        <v>0</v>
      </c>
      <c r="AL20" s="10">
        <f t="shared" si="11"/>
        <v>184</v>
      </c>
    </row>
    <row r="21" spans="1:38" ht="30" customHeight="1">
      <c r="A21" s="26" t="s">
        <v>24</v>
      </c>
      <c r="B21" s="2" t="s">
        <v>9</v>
      </c>
      <c r="C21" s="2" t="s">
        <v>9</v>
      </c>
      <c r="D21" s="2" t="s">
        <v>6</v>
      </c>
      <c r="E21" s="2" t="s">
        <v>6</v>
      </c>
      <c r="F21" s="2" t="s">
        <v>7</v>
      </c>
      <c r="G21" s="2" t="s">
        <v>8</v>
      </c>
      <c r="H21" s="2" t="s">
        <v>9</v>
      </c>
      <c r="I21" s="2" t="s">
        <v>6</v>
      </c>
      <c r="J21" s="2" t="s">
        <v>6</v>
      </c>
      <c r="K21" s="3" t="s">
        <v>6</v>
      </c>
      <c r="L21" s="3" t="s">
        <v>7</v>
      </c>
      <c r="M21" s="2" t="s">
        <v>8</v>
      </c>
      <c r="N21" s="3" t="s">
        <v>9</v>
      </c>
      <c r="O21" s="3" t="s">
        <v>6</v>
      </c>
      <c r="P21" s="2" t="s">
        <v>6</v>
      </c>
      <c r="Q21" s="2" t="s">
        <v>6</v>
      </c>
      <c r="R21" s="2" t="s">
        <v>9</v>
      </c>
      <c r="S21" s="2" t="s">
        <v>7</v>
      </c>
      <c r="T21" s="2" t="s">
        <v>8</v>
      </c>
      <c r="U21" s="2" t="s">
        <v>9</v>
      </c>
      <c r="V21" s="2" t="s">
        <v>7</v>
      </c>
      <c r="W21" s="2" t="s">
        <v>8</v>
      </c>
      <c r="X21" s="2" t="s">
        <v>9</v>
      </c>
      <c r="Y21" s="2" t="s">
        <v>7</v>
      </c>
      <c r="Z21" s="3" t="s">
        <v>8</v>
      </c>
      <c r="AA21" s="3" t="s">
        <v>9</v>
      </c>
      <c r="AB21" s="2" t="s">
        <v>7</v>
      </c>
      <c r="AC21" s="2" t="s">
        <v>7</v>
      </c>
      <c r="AD21" s="3" t="s">
        <v>8</v>
      </c>
      <c r="AE21" s="3" t="s">
        <v>9</v>
      </c>
      <c r="AF21" s="27" t="s">
        <v>7</v>
      </c>
      <c r="AG21" s="19">
        <f t="shared" si="6"/>
        <v>8</v>
      </c>
      <c r="AH21" s="17">
        <f t="shared" si="7"/>
        <v>8</v>
      </c>
      <c r="AI21" s="17">
        <f t="shared" si="8"/>
        <v>6</v>
      </c>
      <c r="AJ21" s="17">
        <f t="shared" si="9"/>
        <v>9</v>
      </c>
      <c r="AK21" s="17">
        <f t="shared" si="10"/>
        <v>0</v>
      </c>
      <c r="AL21" s="10">
        <f t="shared" si="11"/>
        <v>176</v>
      </c>
    </row>
    <row r="22" spans="1:38" ht="30" customHeight="1">
      <c r="A22" s="26" t="s">
        <v>25</v>
      </c>
      <c r="B22" s="2" t="s">
        <v>9</v>
      </c>
      <c r="C22" s="2" t="s">
        <v>7</v>
      </c>
      <c r="D22" s="2" t="s">
        <v>8</v>
      </c>
      <c r="E22" s="2" t="s">
        <v>9</v>
      </c>
      <c r="F22" s="2" t="s">
        <v>6</v>
      </c>
      <c r="G22" s="2" t="s">
        <v>7</v>
      </c>
      <c r="H22" s="2" t="s">
        <v>8</v>
      </c>
      <c r="I22" s="2" t="s">
        <v>9</v>
      </c>
      <c r="J22" s="2" t="s">
        <v>7</v>
      </c>
      <c r="K22" s="3" t="s">
        <v>8</v>
      </c>
      <c r="L22" s="3" t="s">
        <v>9</v>
      </c>
      <c r="M22" s="2" t="s">
        <v>7</v>
      </c>
      <c r="N22" s="3" t="s">
        <v>8</v>
      </c>
      <c r="O22" s="3" t="s">
        <v>9</v>
      </c>
      <c r="P22" s="2" t="s">
        <v>6</v>
      </c>
      <c r="Q22" s="2" t="s">
        <v>6</v>
      </c>
      <c r="R22" s="2" t="s">
        <v>7</v>
      </c>
      <c r="S22" s="2" t="s">
        <v>8</v>
      </c>
      <c r="T22" s="2" t="s">
        <v>9</v>
      </c>
      <c r="U22" s="2" t="s">
        <v>6</v>
      </c>
      <c r="V22" s="2" t="s">
        <v>7</v>
      </c>
      <c r="W22" s="2" t="s">
        <v>8</v>
      </c>
      <c r="X22" s="2" t="s">
        <v>9</v>
      </c>
      <c r="Y22" s="2" t="s">
        <v>6</v>
      </c>
      <c r="Z22" s="3" t="s">
        <v>7</v>
      </c>
      <c r="AA22" s="3" t="s">
        <v>8</v>
      </c>
      <c r="AB22" s="2" t="s">
        <v>9</v>
      </c>
      <c r="AC22" s="2" t="s">
        <v>6</v>
      </c>
      <c r="AD22" s="3" t="s">
        <v>7</v>
      </c>
      <c r="AE22" s="3" t="s">
        <v>6</v>
      </c>
      <c r="AF22" s="27" t="s">
        <v>6</v>
      </c>
      <c r="AG22" s="19">
        <f t="shared" si="6"/>
        <v>8</v>
      </c>
      <c r="AH22" s="17">
        <f t="shared" si="7"/>
        <v>8</v>
      </c>
      <c r="AI22" s="17">
        <f t="shared" si="8"/>
        <v>7</v>
      </c>
      <c r="AJ22" s="17">
        <f t="shared" si="9"/>
        <v>8</v>
      </c>
      <c r="AK22" s="17">
        <f t="shared" si="10"/>
        <v>0</v>
      </c>
      <c r="AL22" s="10">
        <f t="shared" si="11"/>
        <v>184</v>
      </c>
    </row>
    <row r="23" spans="1:38" ht="30" customHeight="1">
      <c r="A23" s="26" t="s">
        <v>23</v>
      </c>
      <c r="B23" s="2" t="s">
        <v>6</v>
      </c>
      <c r="C23" s="2" t="s">
        <v>9</v>
      </c>
      <c r="D23" s="2" t="s">
        <v>9</v>
      </c>
      <c r="E23" s="2" t="s">
        <v>6</v>
      </c>
      <c r="F23" s="2" t="s">
        <v>7</v>
      </c>
      <c r="G23" s="2" t="s">
        <v>8</v>
      </c>
      <c r="H23" s="2" t="s">
        <v>9</v>
      </c>
      <c r="I23" s="2" t="s">
        <v>7</v>
      </c>
      <c r="J23" s="2" t="s">
        <v>8</v>
      </c>
      <c r="K23" s="3" t="s">
        <v>9</v>
      </c>
      <c r="L23" s="3" t="s">
        <v>6</v>
      </c>
      <c r="M23" s="2" t="s">
        <v>7</v>
      </c>
      <c r="N23" s="3" t="s">
        <v>8</v>
      </c>
      <c r="O23" s="3" t="s">
        <v>9</v>
      </c>
      <c r="P23" s="2" t="s">
        <v>7</v>
      </c>
      <c r="Q23" s="2" t="s">
        <v>8</v>
      </c>
      <c r="R23" s="2" t="s">
        <v>9</v>
      </c>
      <c r="S23" s="2" t="s">
        <v>7</v>
      </c>
      <c r="T23" s="2" t="s">
        <v>8</v>
      </c>
      <c r="U23" s="2" t="s">
        <v>9</v>
      </c>
      <c r="V23" s="2" t="s">
        <v>6</v>
      </c>
      <c r="W23" s="2" t="s">
        <v>7</v>
      </c>
      <c r="X23" s="2" t="s">
        <v>8</v>
      </c>
      <c r="Y23" s="2" t="s">
        <v>9</v>
      </c>
      <c r="Z23" s="3" t="s">
        <v>6</v>
      </c>
      <c r="AA23" s="3" t="s">
        <v>6</v>
      </c>
      <c r="AB23" s="2" t="s">
        <v>7</v>
      </c>
      <c r="AC23" s="3" t="s">
        <v>8</v>
      </c>
      <c r="AD23" s="3" t="s">
        <v>8</v>
      </c>
      <c r="AE23" s="3" t="s">
        <v>8</v>
      </c>
      <c r="AF23" s="27" t="s">
        <v>7</v>
      </c>
      <c r="AG23" s="19">
        <f t="shared" si="0"/>
        <v>6</v>
      </c>
      <c r="AH23" s="17">
        <f t="shared" si="1"/>
        <v>8</v>
      </c>
      <c r="AI23" s="17">
        <f t="shared" si="4"/>
        <v>9</v>
      </c>
      <c r="AJ23" s="17">
        <f t="shared" si="2"/>
        <v>8</v>
      </c>
      <c r="AK23" s="17">
        <f t="shared" si="3"/>
        <v>0</v>
      </c>
      <c r="AL23" s="10">
        <f t="shared" si="5"/>
        <v>184</v>
      </c>
    </row>
    <row r="24" spans="1:38" ht="30" customHeight="1" thickBot="1">
      <c r="A24" s="26" t="s">
        <v>24</v>
      </c>
      <c r="B24" s="28" t="s">
        <v>7</v>
      </c>
      <c r="C24" s="28" t="s">
        <v>8</v>
      </c>
      <c r="D24" s="28" t="s">
        <v>9</v>
      </c>
      <c r="E24" s="28" t="s">
        <v>7</v>
      </c>
      <c r="F24" s="28" t="s">
        <v>8</v>
      </c>
      <c r="G24" s="28" t="s">
        <v>9</v>
      </c>
      <c r="H24" s="28" t="s">
        <v>7</v>
      </c>
      <c r="I24" s="28" t="s">
        <v>8</v>
      </c>
      <c r="J24" s="28" t="s">
        <v>9</v>
      </c>
      <c r="K24" s="28" t="s">
        <v>7</v>
      </c>
      <c r="L24" s="29" t="s">
        <v>8</v>
      </c>
      <c r="M24" s="29" t="s">
        <v>9</v>
      </c>
      <c r="N24" s="28" t="s">
        <v>7</v>
      </c>
      <c r="O24" s="29" t="s">
        <v>8</v>
      </c>
      <c r="P24" s="29" t="s">
        <v>9</v>
      </c>
      <c r="Q24" s="28" t="s">
        <v>7</v>
      </c>
      <c r="R24" s="28" t="s">
        <v>8</v>
      </c>
      <c r="S24" s="28" t="s">
        <v>9</v>
      </c>
      <c r="T24" s="28" t="s">
        <v>6</v>
      </c>
      <c r="U24" s="28" t="s">
        <v>6</v>
      </c>
      <c r="V24" s="28" t="s">
        <v>6</v>
      </c>
      <c r="W24" s="28" t="s">
        <v>7</v>
      </c>
      <c r="X24" s="28" t="s">
        <v>8</v>
      </c>
      <c r="Y24" s="28" t="s">
        <v>9</v>
      </c>
      <c r="Z24" s="28" t="s">
        <v>6</v>
      </c>
      <c r="AA24" s="29" t="s">
        <v>6</v>
      </c>
      <c r="AB24" s="29" t="s">
        <v>6</v>
      </c>
      <c r="AC24" s="28" t="s">
        <v>7</v>
      </c>
      <c r="AD24" s="28" t="s">
        <v>7</v>
      </c>
      <c r="AE24" s="28" t="s">
        <v>7</v>
      </c>
      <c r="AF24" s="30" t="s">
        <v>9</v>
      </c>
      <c r="AG24" s="20">
        <f t="shared" si="0"/>
        <v>6</v>
      </c>
      <c r="AH24" s="9">
        <f t="shared" si="1"/>
        <v>10</v>
      </c>
      <c r="AI24" s="17">
        <f t="shared" si="4"/>
        <v>7</v>
      </c>
      <c r="AJ24" s="9">
        <f t="shared" si="2"/>
        <v>8</v>
      </c>
      <c r="AK24" s="9">
        <f t="shared" si="3"/>
        <v>0</v>
      </c>
      <c r="AL24" s="10">
        <f t="shared" si="5"/>
        <v>184</v>
      </c>
    </row>
    <row r="25" spans="1:38" ht="31.2" customHeight="1">
      <c r="A25" s="6" t="s">
        <v>19</v>
      </c>
      <c r="B25" s="12">
        <f t="shared" ref="B25:AF25" si="12">COUNTIF(B5:B24,"주")</f>
        <v>2</v>
      </c>
      <c r="C25" s="12">
        <f t="shared" si="12"/>
        <v>2</v>
      </c>
      <c r="D25" s="12">
        <f t="shared" si="12"/>
        <v>4</v>
      </c>
      <c r="E25" s="12">
        <f t="shared" si="12"/>
        <v>5</v>
      </c>
      <c r="F25" s="12">
        <f t="shared" si="12"/>
        <v>10</v>
      </c>
      <c r="G25" s="12">
        <f t="shared" si="12"/>
        <v>6</v>
      </c>
      <c r="H25" s="12">
        <f t="shared" si="12"/>
        <v>5</v>
      </c>
      <c r="I25" s="12">
        <f t="shared" si="12"/>
        <v>6</v>
      </c>
      <c r="J25" s="12">
        <f t="shared" si="12"/>
        <v>6</v>
      </c>
      <c r="K25" s="12">
        <f t="shared" si="12"/>
        <v>6</v>
      </c>
      <c r="L25" s="12">
        <f t="shared" si="12"/>
        <v>2</v>
      </c>
      <c r="M25" s="12">
        <f t="shared" si="12"/>
        <v>2</v>
      </c>
      <c r="N25" s="12">
        <f t="shared" si="12"/>
        <v>2</v>
      </c>
      <c r="O25" s="12">
        <f t="shared" si="12"/>
        <v>10</v>
      </c>
      <c r="P25" s="12">
        <f t="shared" si="12"/>
        <v>10</v>
      </c>
      <c r="Q25" s="12">
        <f t="shared" si="12"/>
        <v>10</v>
      </c>
      <c r="R25" s="12">
        <f t="shared" si="12"/>
        <v>1</v>
      </c>
      <c r="S25" s="12">
        <f t="shared" si="12"/>
        <v>6</v>
      </c>
      <c r="T25" s="12">
        <f t="shared" si="12"/>
        <v>2</v>
      </c>
      <c r="U25" s="12">
        <f t="shared" si="12"/>
        <v>6</v>
      </c>
      <c r="V25" s="12">
        <f t="shared" si="12"/>
        <v>2</v>
      </c>
      <c r="W25" s="12">
        <f t="shared" si="12"/>
        <v>6</v>
      </c>
      <c r="X25" s="12">
        <f t="shared" si="12"/>
        <v>1</v>
      </c>
      <c r="Y25" s="12">
        <f t="shared" si="12"/>
        <v>6</v>
      </c>
      <c r="Z25" s="12">
        <f t="shared" si="12"/>
        <v>2</v>
      </c>
      <c r="AA25" s="12">
        <f t="shared" si="12"/>
        <v>2</v>
      </c>
      <c r="AB25" s="12">
        <f t="shared" si="12"/>
        <v>2</v>
      </c>
      <c r="AC25" s="12">
        <f t="shared" si="12"/>
        <v>6</v>
      </c>
      <c r="AD25" s="12">
        <f t="shared" si="12"/>
        <v>0</v>
      </c>
      <c r="AE25" s="12">
        <f t="shared" si="12"/>
        <v>6</v>
      </c>
      <c r="AF25" s="13">
        <f t="shared" si="12"/>
        <v>6</v>
      </c>
      <c r="AG25" s="31"/>
      <c r="AH25" s="31"/>
      <c r="AI25" s="31"/>
      <c r="AJ25" s="31"/>
      <c r="AK25" s="31"/>
      <c r="AL25" s="31"/>
    </row>
    <row r="26" spans="1:38" ht="31.2" customHeight="1">
      <c r="A26" s="4" t="s">
        <v>20</v>
      </c>
      <c r="B26" s="11">
        <f t="shared" ref="B26:AF26" si="13">COUNTIF(B5:B24,"야")</f>
        <v>2</v>
      </c>
      <c r="C26" s="11">
        <f t="shared" si="13"/>
        <v>10</v>
      </c>
      <c r="D26" s="11">
        <f t="shared" si="13"/>
        <v>2</v>
      </c>
      <c r="E26" s="11">
        <f t="shared" si="13"/>
        <v>2</v>
      </c>
      <c r="F26" s="11">
        <f t="shared" si="13"/>
        <v>6</v>
      </c>
      <c r="G26" s="11">
        <f t="shared" si="13"/>
        <v>6</v>
      </c>
      <c r="H26" s="11">
        <f t="shared" si="13"/>
        <v>2</v>
      </c>
      <c r="I26" s="11">
        <f t="shared" si="13"/>
        <v>6</v>
      </c>
      <c r="J26" s="11">
        <f t="shared" si="13"/>
        <v>6</v>
      </c>
      <c r="K26" s="11">
        <f t="shared" si="13"/>
        <v>2</v>
      </c>
      <c r="L26" s="11">
        <f t="shared" si="13"/>
        <v>10</v>
      </c>
      <c r="M26" s="11">
        <f t="shared" si="13"/>
        <v>6</v>
      </c>
      <c r="N26" s="11">
        <f t="shared" si="13"/>
        <v>2</v>
      </c>
      <c r="O26" s="11">
        <f t="shared" si="13"/>
        <v>2</v>
      </c>
      <c r="P26" s="11">
        <f t="shared" si="13"/>
        <v>6</v>
      </c>
      <c r="Q26" s="11">
        <f t="shared" si="13"/>
        <v>2</v>
      </c>
      <c r="R26" s="11">
        <f t="shared" si="13"/>
        <v>6</v>
      </c>
      <c r="S26" s="11">
        <f t="shared" si="13"/>
        <v>6</v>
      </c>
      <c r="T26" s="11">
        <f t="shared" si="13"/>
        <v>6</v>
      </c>
      <c r="U26" s="11">
        <f t="shared" si="13"/>
        <v>2</v>
      </c>
      <c r="V26" s="11">
        <f t="shared" si="13"/>
        <v>10</v>
      </c>
      <c r="W26" s="11">
        <f t="shared" si="13"/>
        <v>2</v>
      </c>
      <c r="X26" s="11">
        <f t="shared" si="13"/>
        <v>6</v>
      </c>
      <c r="Y26" s="11">
        <f t="shared" si="13"/>
        <v>6</v>
      </c>
      <c r="Z26" s="11">
        <f t="shared" si="13"/>
        <v>6</v>
      </c>
      <c r="AA26" s="11">
        <f t="shared" si="13"/>
        <v>6</v>
      </c>
      <c r="AB26" s="11">
        <f t="shared" si="13"/>
        <v>6</v>
      </c>
      <c r="AC26" s="11">
        <f t="shared" si="13"/>
        <v>7</v>
      </c>
      <c r="AD26" s="11">
        <f t="shared" si="13"/>
        <v>7</v>
      </c>
      <c r="AE26" s="11">
        <f t="shared" si="13"/>
        <v>7</v>
      </c>
      <c r="AF26" s="14">
        <f t="shared" si="13"/>
        <v>6</v>
      </c>
      <c r="AG26" s="32"/>
      <c r="AH26" s="32"/>
      <c r="AI26" s="32"/>
      <c r="AJ26" s="32"/>
      <c r="AK26" s="32"/>
      <c r="AL26" s="32"/>
    </row>
    <row r="27" spans="1:38" ht="30.6" customHeight="1">
      <c r="A27" s="4" t="s">
        <v>22</v>
      </c>
      <c r="B27" s="11">
        <f t="shared" ref="B27:AF27" si="14">COUNTIF(B4:B23,"비")</f>
        <v>0</v>
      </c>
      <c r="C27" s="11">
        <f t="shared" si="14"/>
        <v>1</v>
      </c>
      <c r="D27" s="11">
        <f t="shared" si="14"/>
        <v>10</v>
      </c>
      <c r="E27" s="11">
        <f t="shared" si="14"/>
        <v>2</v>
      </c>
      <c r="F27" s="11">
        <f t="shared" si="14"/>
        <v>1</v>
      </c>
      <c r="G27" s="11">
        <f t="shared" si="14"/>
        <v>6</v>
      </c>
      <c r="H27" s="11">
        <f t="shared" si="14"/>
        <v>6</v>
      </c>
      <c r="I27" s="11">
        <f t="shared" si="14"/>
        <v>1</v>
      </c>
      <c r="J27" s="11">
        <f t="shared" si="14"/>
        <v>6</v>
      </c>
      <c r="K27" s="11">
        <f t="shared" si="14"/>
        <v>6</v>
      </c>
      <c r="L27" s="11">
        <f t="shared" si="14"/>
        <v>1</v>
      </c>
      <c r="M27" s="11">
        <f t="shared" si="14"/>
        <v>10</v>
      </c>
      <c r="N27" s="11">
        <f t="shared" si="14"/>
        <v>6</v>
      </c>
      <c r="O27" s="11">
        <f t="shared" si="14"/>
        <v>1</v>
      </c>
      <c r="P27" s="11">
        <f t="shared" si="14"/>
        <v>2</v>
      </c>
      <c r="Q27" s="11">
        <f t="shared" si="14"/>
        <v>6</v>
      </c>
      <c r="R27" s="11">
        <f t="shared" si="14"/>
        <v>1</v>
      </c>
      <c r="S27" s="11">
        <f t="shared" si="14"/>
        <v>6</v>
      </c>
      <c r="T27" s="11">
        <f t="shared" si="14"/>
        <v>6</v>
      </c>
      <c r="U27" s="11">
        <f t="shared" si="14"/>
        <v>6</v>
      </c>
      <c r="V27" s="11">
        <f t="shared" si="14"/>
        <v>2</v>
      </c>
      <c r="W27" s="11">
        <f t="shared" si="14"/>
        <v>10</v>
      </c>
      <c r="X27" s="11">
        <f t="shared" si="14"/>
        <v>1</v>
      </c>
      <c r="Y27" s="11">
        <f t="shared" si="14"/>
        <v>6</v>
      </c>
      <c r="Z27" s="11">
        <f t="shared" si="14"/>
        <v>6</v>
      </c>
      <c r="AA27" s="11">
        <f t="shared" si="14"/>
        <v>6</v>
      </c>
      <c r="AB27" s="11">
        <f t="shared" si="14"/>
        <v>6</v>
      </c>
      <c r="AC27" s="11">
        <f t="shared" si="14"/>
        <v>7</v>
      </c>
      <c r="AD27" s="11">
        <f t="shared" ref="AD27" si="15">COUNTIF(AD4:AD23,"비")</f>
        <v>7</v>
      </c>
      <c r="AE27" s="11">
        <f t="shared" si="14"/>
        <v>2</v>
      </c>
      <c r="AF27" s="14">
        <f t="shared" si="14"/>
        <v>6</v>
      </c>
      <c r="AG27" s="32"/>
      <c r="AH27" s="32"/>
      <c r="AI27" s="32"/>
      <c r="AJ27" s="32"/>
      <c r="AK27" s="32"/>
      <c r="AL27" s="32"/>
    </row>
    <row r="28" spans="1:38" ht="30.6" customHeight="1" thickBot="1">
      <c r="A28" s="5" t="s">
        <v>21</v>
      </c>
      <c r="B28" s="15">
        <f t="shared" ref="B28:AF28" si="16">COUNTIF(B6:B25,"휴")</f>
        <v>14</v>
      </c>
      <c r="C28" s="15">
        <f t="shared" si="16"/>
        <v>5</v>
      </c>
      <c r="D28" s="15">
        <f t="shared" si="16"/>
        <v>3</v>
      </c>
      <c r="E28" s="15">
        <f t="shared" si="16"/>
        <v>10</v>
      </c>
      <c r="F28" s="15">
        <f t="shared" si="16"/>
        <v>1</v>
      </c>
      <c r="G28" s="15">
        <f t="shared" si="16"/>
        <v>2</v>
      </c>
      <c r="H28" s="15">
        <f t="shared" si="16"/>
        <v>7</v>
      </c>
      <c r="I28" s="15">
        <f t="shared" si="16"/>
        <v>6</v>
      </c>
      <c r="J28" s="15">
        <f t="shared" si="16"/>
        <v>1</v>
      </c>
      <c r="K28" s="15">
        <f t="shared" si="16"/>
        <v>6</v>
      </c>
      <c r="L28" s="15">
        <f t="shared" si="16"/>
        <v>6</v>
      </c>
      <c r="M28" s="15">
        <f t="shared" si="16"/>
        <v>2</v>
      </c>
      <c r="N28" s="15">
        <f t="shared" si="16"/>
        <v>10</v>
      </c>
      <c r="O28" s="15">
        <f t="shared" si="16"/>
        <v>6</v>
      </c>
      <c r="P28" s="15">
        <f t="shared" si="16"/>
        <v>1</v>
      </c>
      <c r="Q28" s="15">
        <f t="shared" si="16"/>
        <v>2</v>
      </c>
      <c r="R28" s="15">
        <f t="shared" si="16"/>
        <v>11</v>
      </c>
      <c r="S28" s="15">
        <f t="shared" si="16"/>
        <v>1</v>
      </c>
      <c r="T28" s="15">
        <f t="shared" si="16"/>
        <v>6</v>
      </c>
      <c r="U28" s="15">
        <f t="shared" si="16"/>
        <v>6</v>
      </c>
      <c r="V28" s="15">
        <f t="shared" si="16"/>
        <v>6</v>
      </c>
      <c r="W28" s="15">
        <f t="shared" si="16"/>
        <v>1</v>
      </c>
      <c r="X28" s="15">
        <f t="shared" si="16"/>
        <v>11</v>
      </c>
      <c r="Y28" s="15">
        <f t="shared" si="16"/>
        <v>2</v>
      </c>
      <c r="Z28" s="15">
        <f t="shared" si="16"/>
        <v>5</v>
      </c>
      <c r="AA28" s="15">
        <f t="shared" si="16"/>
        <v>6</v>
      </c>
      <c r="AB28" s="15">
        <f t="shared" si="16"/>
        <v>6</v>
      </c>
      <c r="AC28" s="15">
        <f t="shared" si="16"/>
        <v>0</v>
      </c>
      <c r="AD28" s="15">
        <f t="shared" si="16"/>
        <v>5</v>
      </c>
      <c r="AE28" s="15">
        <f t="shared" si="16"/>
        <v>5</v>
      </c>
      <c r="AF28" s="16">
        <f t="shared" si="16"/>
        <v>2</v>
      </c>
      <c r="AG28" s="32"/>
      <c r="AH28" s="32"/>
      <c r="AI28" s="32"/>
      <c r="AJ28" s="32"/>
      <c r="AK28" s="32"/>
      <c r="AL28" s="32"/>
    </row>
    <row r="29" spans="1:38" ht="30.6" customHeight="1"/>
    <row r="30" spans="1:38" ht="30.6" customHeight="1"/>
    <row r="31" spans="1:38" ht="30.6" customHeight="1"/>
    <row r="32" spans="1:38" ht="30.6" customHeight="1"/>
    <row r="33" ht="30.6" customHeight="1"/>
    <row r="34" ht="30.6" customHeight="1"/>
    <row r="35" ht="30.6" customHeight="1"/>
    <row r="36" ht="30.6" customHeight="1"/>
    <row r="37" ht="30.6" customHeight="1"/>
    <row r="38" ht="30.6" customHeight="1"/>
    <row r="39" ht="30.6" customHeight="1"/>
  </sheetData>
  <mergeCells count="1">
    <mergeCell ref="A1:AF2"/>
  </mergeCells>
  <phoneticPr fontId="3" type="noConversion"/>
  <conditionalFormatting sqref="B4:AF24">
    <cfRule type="containsText" dxfId="6" priority="6" stopIfTrue="1" operator="containsText" text="일">
      <formula>NOT(ISERROR(SEARCH(("일"),(B4))))</formula>
    </cfRule>
    <cfRule type="containsText" dxfId="5" priority="7" stopIfTrue="1" operator="containsText" text="토">
      <formula>NOT(ISERROR(SEARCH(("토"),(B4))))</formula>
    </cfRule>
  </conditionalFormatting>
  <conditionalFormatting sqref="B5:AF24">
    <cfRule type="cellIs" dxfId="4" priority="1" operator="equal">
      <formula>"연"</formula>
    </cfRule>
    <cfRule type="cellIs" dxfId="3" priority="2" operator="equal">
      <formula>"야"</formula>
    </cfRule>
    <cfRule type="cellIs" dxfId="2" priority="3" operator="equal">
      <formula>"주"</formula>
    </cfRule>
    <cfRule type="cellIs" dxfId="1" priority="4" operator="equal">
      <formula>"휴"</formula>
    </cfRule>
    <cfRule type="cellIs" dxfId="0" priority="5" operator="equal">
      <formula>"비"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김동현</dc:creator>
  <cp:lastModifiedBy>김동현</cp:lastModifiedBy>
  <dcterms:created xsi:type="dcterms:W3CDTF">2026-03-24T07:50:11Z</dcterms:created>
  <dcterms:modified xsi:type="dcterms:W3CDTF">2026-05-13T17:00:10Z</dcterms:modified>
</cp:coreProperties>
</file>